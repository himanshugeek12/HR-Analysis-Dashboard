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376EE2D7-2854-4C7E-A384-34E44D6841EB}" xr6:coauthVersionLast="47" xr6:coauthVersionMax="47" xr10:uidLastSave="{00000000-0000-0000-0000-000000000000}"/>
  <bookViews>
    <workbookView xWindow="-120" yWindow="-120" windowWidth="24240" windowHeight="13020" activeTab="2" xr2:uid="{D23B8ADD-2A4B-4769-B3F5-3BDD69C30999}"/>
  </bookViews>
  <sheets>
    <sheet name="PivoteTable" sheetId="5" r:id="rId1"/>
    <sheet name="Data" sheetId="1" r:id="rId2"/>
    <sheet name="Dashboard" sheetId="3" r:id="rId3"/>
  </sheets>
  <definedNames>
    <definedName name="Slicer_Department">#N/A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2" i="5" l="1"/>
  <c r="J21" i="5"/>
  <c r="J18" i="5"/>
  <c r="J17" i="5"/>
  <c r="J16" i="5"/>
  <c r="J14" i="5"/>
  <c r="J15" i="5"/>
  <c r="Z14" i="5"/>
  <c r="Z15" i="5"/>
  <c r="Z16" i="5"/>
  <c r="Z17" i="5"/>
  <c r="Z13" i="5"/>
  <c r="W14" i="5"/>
  <c r="W15" i="5"/>
  <c r="W16" i="5"/>
  <c r="W17" i="5"/>
  <c r="W13" i="5"/>
  <c r="G13" i="5"/>
  <c r="G14" i="5"/>
  <c r="G15" i="5"/>
  <c r="G16" i="5"/>
  <c r="G17" i="5"/>
  <c r="G12" i="5"/>
  <c r="T14" i="5"/>
  <c r="T15" i="5"/>
  <c r="T16" i="5"/>
  <c r="T17" i="5"/>
  <c r="T13" i="5"/>
  <c r="O15" i="5"/>
  <c r="O14" i="5"/>
  <c r="O13" i="5"/>
  <c r="F13" i="5"/>
  <c r="F14" i="5"/>
  <c r="F15" i="5"/>
  <c r="F16" i="5"/>
  <c r="F12" i="5"/>
  <c r="C12" i="5"/>
  <c r="C13" i="5"/>
  <c r="C11" i="5"/>
  <c r="J23" i="5" l="1"/>
  <c r="J19" i="5"/>
  <c r="K22" i="5"/>
  <c r="L22" i="5" s="1"/>
  <c r="K21" i="5"/>
  <c r="L21" i="5" s="1"/>
  <c r="Z18" i="5"/>
  <c r="W18" i="5"/>
  <c r="T18" i="5"/>
  <c r="P14" i="5"/>
  <c r="Q14" i="5" s="1"/>
  <c r="O16" i="5"/>
  <c r="P13" i="5"/>
  <c r="Q13" i="5" s="1"/>
  <c r="P15" i="5"/>
  <c r="Q15" i="5" s="1"/>
  <c r="C14" i="5"/>
  <c r="F1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AED3B1-D492-4325-8B5F-A80AA76C5696}"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<sst xmlns="http://schemas.openxmlformats.org/spreadsheetml/2006/main" count="876" uniqueCount="229">
  <si>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</si>
  <si>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</si>
  <si>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</si>
  <si>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</si>
  <si>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</si>
  <si>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</si>
  <si>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</si>
  <si>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</si>
  <si>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</si>
  <si>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</si>
  <si>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</si>
  <si>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</si>
  <si>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</si>
  <si>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</si>
  <si>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</si>
  <si>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</si>
  <si>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</si>
  <si>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</si>
  <si>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</si>
  <si>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</si>
  <si>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</si>
  <si>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</si>
  <si>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</si>
  <si>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</si>
  <si>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</si>
  <si>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</si>
  <si>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</si>
  <si>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</si>
  <si>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</si>
  <si>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</si>
  <si>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</si>
  <si>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</si>
  <si>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</si>
  <si>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</si>
  <si>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</si>
  <si>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</si>
  <si>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</si>
  <si>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</si>
  <si>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</si>
  <si>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</si>
  <si>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</si>
  <si>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</si>
  <si>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</si>
  <si>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</si>
  <si>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</si>
  <si>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</si>
  <si>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</si>
  <si>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</si>
  <si>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</si>
  <si>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</si>
  <si>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</si>
  <si>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</si>
  <si>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</si>
  <si>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</si>
  <si>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</si>
  <si>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</si>
  <si>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</si>
  <si>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</si>
  <si>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</si>
  <si>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</si>
  <si>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</si>
  <si>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</si>
  <si>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</si>
  <si>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</si>
  <si>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</si>
  <si>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</si>
  <si>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</si>
  <si>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</si>
  <si>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</si>
  <si>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</si>
  <si>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</si>
  <si>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</si>
  <si>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</si>
  <si>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</si>
  <si>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</si>
  <si>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</si>
  <si>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</si>
  <si>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</si>
  <si>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</si>
  <si>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</si>
  <si>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</si>
  <si>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</si>
  <si>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</si>
  <si>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</si>
  <si>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</si>
  <si>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</si>
  <si>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</si>
  <si>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</si>
  <si>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</si>
  <si>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</si>
  <si>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</si>
  <si>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</si>
  <si>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</si>
  <si>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</si>
  <si>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</si>
  <si>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</si>
  <si>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</si>
  <si>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</si>
  <si>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</si>
  <si>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</si>
  <si>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</si>
  <si>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</si>
  <si>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</si>
  <si>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</si>
  <si>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</si>
  <si>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</si>
  <si>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</si>
  <si>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</si>
  <si>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</si>
  <si>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</si>
  <si>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</si>
  <si>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</si>
  <si>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</si>
  <si>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</si>
  <si>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</si>
  <si>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</si>
  <si>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</si>
  <si>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</si>
  <si>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</si>
  <si>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</si>
  <si>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</si>
  <si>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</si>
  <si>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</si>
  <si>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</si>
  <si>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</si>
  <si>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</si>
  <si>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</si>
  <si>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</si>
  <si>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</si>
  <si>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</si>
  <si>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</si>
  <si>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</si>
  <si>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</si>
  <si>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</si>
  <si>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</si>
  <si>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</si>
  <si>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</si>
  <si>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</si>
  <si>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</si>
  <si>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</si>
  <si>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</si>
  <si>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</si>
  <si>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</si>
  <si>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</si>
  <si>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</si>
  <si>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</si>
  <si>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</si>
  <si>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</si>
  <si>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</si>
  <si>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</si>
  <si>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</si>
  <si>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</si>
  <si>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</si>
  <si>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</si>
  <si>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</si>
  <si>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</si>
  <si>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</si>
  <si>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</si>
  <si>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</si>
  <si>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</si>
  <si>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</si>
  <si>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</si>
  <si>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</si>
  <si>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</si>
  <si>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</si>
  <si>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</si>
  <si>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</si>
  <si>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</si>
  <si>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</si>
  <si>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</si>
  <si>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</si>
  <si>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</si>
  <si>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</si>
  <si>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</si>
  <si>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</si>
  <si>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</si>
  <si>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</si>
  <si>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</si>
  <si>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</si>
  <si>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</si>
  <si>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</si>
  <si>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</si>
  <si>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</si>
  <si>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</si>
  <si>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</si>
  <si>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</si>
  <si>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</si>
  <si>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</si>
  <si>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</si>
  <si>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</si>
  <si>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</si>
  <si>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</si>
  <si>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</si>
  <si>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</si>
  <si>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</si>
  <si>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</si>
  <si>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</si>
  <si>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</si>
  <si>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</si>
  <si>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</si>
  <si>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</si>
  <si>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</si>
  <si>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</si>
  <si>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</si>
  <si>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</si>
  <si>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</si>
  <si>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</si>
  <si>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</si>
  <si>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</si>
  <si>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</si>
  <si>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</si>
  <si>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</si>
  <si>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</si>
  <si>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</si>
  <si>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</si>
  <si>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</si>
  <si>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</si>
  <si>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Number of employe to employment status</t>
  </si>
  <si>
    <t>Total</t>
  </si>
  <si>
    <t>Sum of Salary</t>
  </si>
  <si>
    <t>Salaries to departments</t>
  </si>
  <si>
    <t>Column Labels</t>
  </si>
  <si>
    <t>Age range to gender</t>
  </si>
  <si>
    <t>Work Place</t>
  </si>
  <si>
    <t>Skils</t>
  </si>
  <si>
    <t>Sum of Leave Taken</t>
  </si>
  <si>
    <t>Regions</t>
  </si>
  <si>
    <t>Sum of Performance Rating</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</si>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</sst>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font>
      <sz val="11"/>
      <color theme="1"/>
      <name val="Calibri"/>
      <family val="2"/>
      <scheme val="minor"/>
    </font>
    <font>
      <b/>
      <sz val="11"/>
      <color theme="0" tint="-4.9989318521683403E-2"/>
      <name val="Kulim Park"/>
    </font>
    <font>
      <sz val="11"/>
      <color theme="0" tint="-4.9989318521683403E-2"/>
      <name val="Kulim Park"/>
    </font>
    <font>
      <sz val="11"/>
      <color theme="1"/>
      <name val="Kulim Park"/>
    </font>
    <font>
      <sz val="11"/>
      <color theme="0"/>
      <name val="Kulim park"/>
    </font>
    <font>
      <sz val="11"/>
      <color theme="1"/>
      <name val="Calibri"/>
      <family val="2"/>
      <scheme val="minor"/>
    </font>
    <font>
      <b/>
      <sz val="11"/>
      <color theme="1"/>
      <name val="Calibri"/>
      <family val="2"/>
      <scheme val="minor"/>
    </font>
    <font>
      <b/>
      <sz val="11"/>
      <color theme="1"/>
      <name val="Kulim Park"/>
    </font>
    <font>
      <sz val="11"/>
      <color theme="0"/>
      <name val="Kulim  park"/>
    </font>
    <font>
      <sz val="11"/>
      <color theme="1"/>
      <name val="Kulim  park"/>
    </font>
    <font>
      <sz val="11"/>
      <color theme="1"/>
      <name val="Kulim Spark"/>
    </font>
    <font>
      <b/>
      <sz val="11"/>
      <color theme="1"/>
      <name val="Kulim Spark"/>
    </font>
    <font>
      <sz val="11"/>
      <color theme="0"/>
      <name val="Kulim Spark"/>
    </font>
  </fonts>
  <fills count="3">
    <fill>
      <patternFill patternType="none"/>
    </fill>
    <fill>
      <patternFill patternType="gray125"/>
    </fill>
    <fill>
      <patternFill patternType="solid">
        <fgColor rgb="FF282828"/>
        <bgColor indexed="64"/>
      </patternFill>
    </fill>
  </fills>
  <borders count="15">
    <border>
      <left/>
      <right/>
      <top/>
      <bottom/>
      <diagonal/>
    </border>
    <border>
      <left/>
      <right/>
      <top style="thin">
        <color theme="1" tint="0.499984740745262"/>
      </top>
      <bottom style="thin">
        <color theme="1"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theme="1" tint="0.499984740745262"/>
      </top>
      <bottom/>
      <diagonal/>
    </border>
  </borders>
  <cellStyleXfs count="2">
    <xf numFmtId="0" fontId="0" fillId="0" borderId="0"/>
    <xf numFmtId="9" fontId="5" fillId="0" borderId="0" applyFont="0" applyFill="0" applyBorder="0" applyAlignment="0" applyProtection="0"/>
  </cellStyleXfs>
  <cellXfs count="59">
    <xf numFmtId="0" fontId="0" fillId="0" borderId="0" xfId="0"/>
    <xf numFmtId="0" fontId="1" fillId="2" borderId="0" xfId="0" applyFont="1" applyFill="1" applyAlignment="1">
      <alignment horizontal="center" vertical="center"/>
    </xf>
    <xf numFmtId="0" fontId="2" fillId="2" borderId="1" xfId="0" applyFont="1" applyFill="1" applyBorder="1" applyAlignment="1">
      <alignment horizontal="center" vertical="center"/>
    </xf>
    <xf numFmtId="0" fontId="3" fillId="2" borderId="0" xfId="0" applyFont="1" applyFill="1"/>
    <xf numFmtId="0" fontId="4" fillId="2" borderId="0" xfId="0" applyFont="1" applyFill="1" applyAlignment="1">
      <alignment horizontal="center"/>
    </xf>
    <xf numFmtId="0" fontId="3" fillId="0" borderId="0" xfId="0" applyFont="1"/>
    <xf numFmtId="0" fontId="3" fillId="0" borderId="0" xfId="0" pivotButton="1" applyFont="1"/>
    <xf numFmtId="0" fontId="3" fillId="0" borderId="0" xfId="0" applyFont="1" applyAlignment="1">
      <alignment horizontal="left"/>
    </xf>
    <xf numFmtId="0" fontId="3" fillId="0" borderId="0" xfId="0" applyNumberFormat="1" applyFont="1"/>
    <xf numFmtId="9" fontId="7" fillId="0" borderId="0" xfId="0" applyNumberFormat="1" applyFont="1"/>
    <xf numFmtId="0" fontId="9" fillId="0" borderId="0" xfId="0" applyFont="1"/>
    <xf numFmtId="0" fontId="9" fillId="0" borderId="0" xfId="0" pivotButton="1" applyFont="1"/>
    <xf numFmtId="0" fontId="9" fillId="0" borderId="0" xfId="0" applyFont="1" applyAlignment="1">
      <alignment horizontal="left"/>
    </xf>
    <xf numFmtId="0" fontId="9" fillId="0" borderId="0" xfId="0" applyNumberFormat="1" applyFont="1"/>
    <xf numFmtId="0" fontId="3" fillId="0" borderId="2" xfId="0" applyFont="1" applyBorder="1"/>
    <xf numFmtId="0" fontId="3" fillId="0" borderId="3" xfId="0" applyFont="1" applyBorder="1"/>
    <xf numFmtId="0" fontId="0" fillId="0" borderId="3" xfId="0" applyBorder="1"/>
    <xf numFmtId="0" fontId="0" fillId="0" borderId="4" xfId="0" applyBorder="1"/>
    <xf numFmtId="0" fontId="0" fillId="0" borderId="0" xfId="0" applyBorder="1"/>
    <xf numFmtId="0" fontId="0" fillId="0" borderId="6" xfId="0" applyBorder="1"/>
    <xf numFmtId="0" fontId="3" fillId="0" borderId="5" xfId="0" applyFont="1" applyBorder="1"/>
    <xf numFmtId="0" fontId="3" fillId="0" borderId="0" xfId="0" applyFont="1" applyBorder="1"/>
    <xf numFmtId="0" fontId="3" fillId="0" borderId="5" xfId="0" applyFont="1" applyBorder="1" applyAlignment="1">
      <alignment horizontal="left"/>
    </xf>
    <xf numFmtId="9" fontId="6" fillId="0" borderId="0" xfId="1" applyFont="1" applyBorder="1"/>
    <xf numFmtId="9" fontId="0" fillId="0" borderId="6" xfId="0" applyNumberFormat="1" applyBorder="1"/>
    <xf numFmtId="0" fontId="3" fillId="0" borderId="7" xfId="0" applyFont="1" applyBorder="1"/>
    <xf numFmtId="0" fontId="3" fillId="0" borderId="8" xfId="0" applyFont="1" applyBorder="1"/>
    <xf numFmtId="0" fontId="0" fillId="0" borderId="8" xfId="0" applyBorder="1"/>
    <xf numFmtId="0" fontId="0" fillId="0" borderId="9" xfId="0" applyBorder="1"/>
    <xf numFmtId="0" fontId="4" fillId="2" borderId="5" xfId="0" applyFont="1" applyFill="1" applyBorder="1" applyAlignment="1"/>
    <xf numFmtId="0" fontId="4" fillId="2" borderId="0" xfId="0" applyFont="1" applyFill="1" applyBorder="1" applyAlignment="1"/>
    <xf numFmtId="0" fontId="4" fillId="2" borderId="6" xfId="0" applyFont="1" applyFill="1" applyBorder="1" applyAlignment="1"/>
    <xf numFmtId="9" fontId="3" fillId="0" borderId="0" xfId="0" applyNumberFormat="1" applyFont="1"/>
    <xf numFmtId="0" fontId="3" fillId="0" borderId="11" xfId="0" applyNumberFormat="1" applyFont="1" applyBorder="1"/>
    <xf numFmtId="0" fontId="3" fillId="0" borderId="12" xfId="0" applyNumberFormat="1" applyFont="1" applyBorder="1"/>
    <xf numFmtId="0" fontId="3" fillId="0" borderId="13" xfId="0" applyNumberFormat="1" applyFont="1" applyBorder="1"/>
    <xf numFmtId="0" fontId="3" fillId="0" borderId="10" xfId="0" pivotButton="1" applyFont="1" applyBorder="1"/>
    <xf numFmtId="0" fontId="3" fillId="0" borderId="11" xfId="0" applyFont="1" applyBorder="1" applyAlignment="1">
      <alignment horizontal="left"/>
    </xf>
    <xf numFmtId="0" fontId="3" fillId="0" borderId="12" xfId="0" applyFont="1" applyBorder="1" applyAlignment="1">
      <alignment horizontal="left"/>
    </xf>
    <xf numFmtId="0" fontId="3" fillId="0" borderId="13" xfId="0" applyFont="1" applyBorder="1" applyAlignment="1">
      <alignment horizontal="left"/>
    </xf>
    <xf numFmtId="0" fontId="3" fillId="0" borderId="10" xfId="0" applyFont="1" applyBorder="1" applyAlignment="1">
      <alignment horizontal="left"/>
    </xf>
    <xf numFmtId="0" fontId="3" fillId="0" borderId="10" xfId="0" applyFont="1" applyBorder="1"/>
    <xf numFmtId="0" fontId="4" fillId="2" borderId="0" xfId="0" applyFont="1" applyFill="1" applyAlignment="1"/>
    <xf numFmtId="0" fontId="10" fillId="0" borderId="0" xfId="0" applyFont="1"/>
    <xf numFmtId="0" fontId="10" fillId="0" borderId="0" xfId="0" pivotButton="1" applyFont="1"/>
    <xf numFmtId="0" fontId="10" fillId="0" borderId="0" xfId="0" applyFont="1" applyAlignment="1">
      <alignment horizontal="left"/>
    </xf>
    <xf numFmtId="0" fontId="10" fillId="0" borderId="0" xfId="0" applyNumberFormat="1" applyFont="1"/>
    <xf numFmtId="1" fontId="1" fillId="2" borderId="0" xfId="0" applyNumberFormat="1" applyFont="1" applyFill="1" applyAlignment="1">
      <alignment horizontal="center" vertical="center"/>
    </xf>
    <xf numFmtId="1" fontId="2" fillId="2" borderId="1" xfId="0" applyNumberFormat="1" applyFont="1" applyFill="1" applyBorder="1" applyAlignment="1">
      <alignment horizontal="center" vertical="center"/>
    </xf>
    <xf numFmtId="1" fontId="0" fillId="0" borderId="0" xfId="0" applyNumberFormat="1"/>
    <xf numFmtId="0" fontId="11" fillId="0" borderId="0" xfId="0" applyFont="1"/>
    <xf numFmtId="0" fontId="2" fillId="2" borderId="14" xfId="0" applyFont="1" applyFill="1" applyBorder="1" applyAlignment="1">
      <alignment horizontal="center" vertical="center"/>
    </xf>
    <xf numFmtId="1" fontId="2" fillId="2" borderId="14" xfId="0" applyNumberFormat="1" applyFont="1" applyFill="1" applyBorder="1" applyAlignment="1">
      <alignment horizontal="center" vertical="center"/>
    </xf>
    <xf numFmtId="0" fontId="8" fillId="2" borderId="0" xfId="0" applyFont="1" applyFill="1" applyAlignment="1">
      <alignment horizontal="center"/>
    </xf>
    <xf numFmtId="0" fontId="4" fillId="2" borderId="0" xfId="0" applyFont="1" applyFill="1" applyAlignment="1">
      <alignment horizontal="center"/>
    </xf>
    <xf numFmtId="0" fontId="4" fillId="2" borderId="5" xfId="0" applyFont="1" applyFill="1" applyBorder="1" applyAlignment="1">
      <alignment horizontal="center"/>
    </xf>
    <xf numFmtId="0" fontId="4" fillId="2" borderId="0" xfId="0" applyFont="1" applyFill="1" applyBorder="1" applyAlignment="1">
      <alignment horizontal="center"/>
    </xf>
    <xf numFmtId="0" fontId="12" fillId="2" borderId="5" xfId="0" applyFont="1" applyFill="1" applyBorder="1" applyAlignment="1">
      <alignment horizontal="center"/>
    </xf>
    <xf numFmtId="0" fontId="12" fillId="2" borderId="0" xfId="0" applyFont="1" applyFill="1" applyBorder="1" applyAlignment="1">
      <alignment horizontal="center"/>
    </xf>
  </cellXfs>
  <cellStyles count="2">
    <cellStyle name="Normal" xfId="0" builtinId="0"/>
    <cellStyle name="Percent" xfId="1" builtinId="5"/>
  </cellStyles>
  <dxfs count="893">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font>
    </dxf>
    <dxf>
      <font>
        <name val="Kulim Park"/>
      </font>
    </dxf>
    <dxf>
      <font>
        <name val="Kulim Park"/>
      </font>
    </dxf>
    <dxf>
      <font>
        <name val="Kulim Park"/>
      </font>
    </dxf>
    <dxf>
      <font>
        <name val="Kulim Park"/>
      </font>
    </dxf>
    <dxf>
      <font>
        <name val="Kulim Park"/>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font>
    </dxf>
    <dxf>
      <font>
        <name val="Kulim Park"/>
      </font>
    </dxf>
    <dxf>
      <font>
        <name val="Kulim Park"/>
      </font>
    </dxf>
    <dxf>
      <font>
        <name val="Kulim Park"/>
      </font>
    </dxf>
    <dxf>
      <font>
        <name val="Kulim Park"/>
      </font>
    </dxf>
    <dxf>
      <font>
        <name val="Kulim Park"/>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font>
    </dxf>
    <dxf>
      <font>
        <name val="Kulim Park"/>
      </font>
    </dxf>
    <dxf>
      <font>
        <name val="Kulim Park"/>
      </font>
    </dxf>
    <dxf>
      <font>
        <name val="Kulim Park"/>
      </font>
    </dxf>
    <dxf>
      <font>
        <name val="Kulim Park"/>
      </font>
    </dxf>
    <dxf>
      <font>
        <name val="Kulim Park"/>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font>
    </dxf>
    <dxf>
      <font>
        <name val="Kulim Park"/>
      </font>
    </dxf>
    <dxf>
      <font>
        <name val="Kulim Park"/>
      </font>
    </dxf>
    <dxf>
      <font>
        <name val="Kulim Park"/>
      </font>
    </dxf>
    <dxf>
      <font>
        <name val="Kulim Park"/>
      </font>
    </dxf>
    <dxf>
      <font>
        <name val="Kulim Park"/>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font>
    </dxf>
    <dxf>
      <font>
        <name val="Kulim Park"/>
      </font>
    </dxf>
    <dxf>
      <font>
        <name val="Kulim Park"/>
      </font>
    </dxf>
    <dxf>
      <font>
        <name val="Kulim Park"/>
      </font>
    </dxf>
    <dxf>
      <font>
        <name val="Kulim Park"/>
      </font>
    </dxf>
    <dxf>
      <font>
        <name val="Kulim Park"/>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font>
    </dxf>
    <dxf>
      <font>
        <name val="Kulim Park"/>
      </font>
    </dxf>
    <dxf>
      <font>
        <name val="Kulim Park"/>
      </font>
    </dxf>
    <dxf>
      <font>
        <name val="Kulim Park"/>
      </font>
    </dxf>
    <dxf>
      <font>
        <name val="Kulim Park"/>
      </font>
    </dxf>
    <dxf>
      <font>
        <name val="Kulim Park"/>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font>
    </dxf>
    <dxf>
      <font>
        <name val="Kulim Park"/>
      </font>
    </dxf>
    <dxf>
      <font>
        <name val="Kulim Park"/>
      </font>
    </dxf>
    <dxf>
      <font>
        <name val="Kulim Park"/>
      </font>
    </dxf>
    <dxf>
      <font>
        <name val="Kulim Park"/>
      </font>
    </dxf>
    <dxf>
      <font>
        <name val="Kulim Park"/>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font>
    </dxf>
    <dxf>
      <font>
        <name val="Kulim Park"/>
      </font>
    </dxf>
    <dxf>
      <font>
        <name val="Kulim Park"/>
      </font>
    </dxf>
    <dxf>
      <font>
        <name val="Kulim Park"/>
      </font>
    </dxf>
    <dxf>
      <font>
        <name val="Kulim Park"/>
      </font>
    </dxf>
    <dxf>
      <font>
        <name val="Kulim Park"/>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font>
    </dxf>
    <dxf>
      <font>
        <name val="Kulim Park"/>
      </font>
    </dxf>
    <dxf>
      <font>
        <name val="Kulim Park"/>
      </font>
    </dxf>
    <dxf>
      <font>
        <name val="Kulim Park"/>
      </font>
    </dxf>
    <dxf>
      <font>
        <name val="Kulim Park"/>
      </font>
    </dxf>
    <dxf>
      <font>
        <name val="Kulim Park"/>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font>
    </dxf>
    <dxf>
      <font>
        <name val="Kulim Park"/>
      </font>
    </dxf>
    <dxf>
      <font>
        <name val="Kulim Park"/>
      </font>
    </dxf>
    <dxf>
      <font>
        <name val="Kulim Park"/>
      </font>
    </dxf>
    <dxf>
      <font>
        <name val="Kulim Park"/>
      </font>
    </dxf>
    <dxf>
      <font>
        <name val="Kulim Park"/>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font>
    </dxf>
    <dxf>
      <font>
        <name val="Kulim Park"/>
      </font>
    </dxf>
    <dxf>
      <font>
        <name val="Kulim Park"/>
      </font>
    </dxf>
    <dxf>
      <font>
        <name val="Kulim Park"/>
      </font>
    </dxf>
    <dxf>
      <font>
        <name val="Kulim Park"/>
      </font>
    </dxf>
    <dxf>
      <font>
        <name val="Kulim Park"/>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font>
    </dxf>
    <dxf>
      <font>
        <name val="Kulim Park"/>
      </font>
    </dxf>
    <dxf>
      <font>
        <name val="Kulim Park"/>
      </font>
    </dxf>
    <dxf>
      <font>
        <name val="Kulim Park"/>
      </font>
    </dxf>
    <dxf>
      <font>
        <name val="Kulim Park"/>
      </font>
    </dxf>
    <dxf>
      <font>
        <name val="Kulim Park"/>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font>
    </dxf>
    <dxf>
      <font>
        <name val="Kulim Park"/>
      </font>
    </dxf>
    <dxf>
      <font>
        <name val="Kulim Park"/>
      </font>
    </dxf>
    <dxf>
      <font>
        <name val="Kulim Park"/>
      </font>
    </dxf>
    <dxf>
      <font>
        <name val="Kulim Park"/>
      </font>
    </dxf>
    <dxf>
      <font>
        <name val="Kulim Park"/>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font>
    </dxf>
    <dxf>
      <font>
        <name val="Kulim Park"/>
      </font>
    </dxf>
    <dxf>
      <font>
        <name val="Kulim Park"/>
      </font>
    </dxf>
    <dxf>
      <font>
        <name val="Kulim Park"/>
      </font>
    </dxf>
    <dxf>
      <font>
        <name val="Kulim Park"/>
      </font>
    </dxf>
    <dxf>
      <font>
        <name val="Kulim Park"/>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font>
    </dxf>
    <dxf>
      <font>
        <name val="Kulim Park"/>
      </font>
    </dxf>
    <dxf>
      <font>
        <name val="Kulim Park"/>
      </font>
    </dxf>
    <dxf>
      <font>
        <name val="Kulim Park"/>
      </font>
    </dxf>
    <dxf>
      <font>
        <name val="Kulim Park"/>
      </font>
    </dxf>
    <dxf>
      <font>
        <name val="Kulim Park"/>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font>
    </dxf>
    <dxf>
      <font>
        <name val="Kulim Park"/>
      </font>
    </dxf>
    <dxf>
      <font>
        <name val="Kulim Park"/>
      </font>
    </dxf>
    <dxf>
      <font>
        <name val="Kulim Park"/>
      </font>
    </dxf>
    <dxf>
      <font>
        <name val="Kulim Park"/>
      </font>
    </dxf>
    <dxf>
      <font>
        <name val="Kulim Park"/>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numFmt numFmtId="1" formatCode="0"/>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border outline="0">
        <bottom style="thin">
          <color theme="1" tint="0.499984740745262"/>
        </bottom>
      </border>
    </dxf>
    <dxf>
      <font>
        <b val="0"/>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i val="0"/>
        <strike val="0"/>
        <condense val="0"/>
        <extend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Kulim Park"/>
      </font>
    </dxf>
    <dxf>
      <font>
        <name val="Kulim Park"/>
      </font>
    </dxf>
    <dxf>
      <font>
        <name val="Kulim Park"/>
      </font>
    </dxf>
    <dxf>
      <font>
        <name val="Kulim Park"/>
      </font>
    </dxf>
    <dxf>
      <font>
        <name val="Kulim Park"/>
      </font>
    </dxf>
    <dxf>
      <font>
        <name val="Kulim Park"/>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S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ill>
        <patternFill>
          <fgColor rgb="FF1F1F1F"/>
          <bgColor rgb="FF1F1F1F"/>
        </patternFill>
      </fill>
    </dxf>
    <dxf>
      <font>
        <name val="Kulim"/>
      </font>
      <fill>
        <patternFill>
          <fgColor rgb="FF1F1F1F"/>
          <bgColor rgb="FF1F1F1F"/>
        </patternFill>
      </fill>
    </dxf>
  </dxfs>
  <tableStyles count="2" defaultTableStyle="TableStyleMedium2" defaultPivotStyle="PivotStyleLight16">
    <tableStyle name="Slicer Style 1" pivot="0" table="0" count="1" xr9:uid="{79E27C1E-FE22-4E8E-8A55-2FE6EAED3B74}">
      <tableStyleElement type="wholeTable" dxfId="892"/>
    </tableStyle>
    <tableStyle name="Slicer Style 2" pivot="0" table="0" count="5" xr9:uid="{9F8012C0-7F7C-4865-BC08-D06F35B9C69A}">
      <tableStyleElement type="wholeTable" dxfId="891"/>
    </tableStyle>
  </tableStyles>
  <colors>
    <mruColors>
      <color rgb="FFF29617"/>
      <color rgb="FF1F1F1F"/>
      <color rgb="FF282828"/>
      <color rgb="FF948A54"/>
      <color rgb="FF77933C"/>
      <color rgb="FFBA8E23"/>
    </mruColors>
  </colors>
  <extLst>
    <ext xmlns:x14="http://schemas.microsoft.com/office/spreadsheetml/2009/9/main" uri="{46F421CA-312F-682f-3DD2-61675219B42D}">
      <x14:dxfs count="4">
        <dxf>
          <font>
            <sz val="11"/>
            <color rgb="FF282828"/>
          </font>
          <fill>
            <patternFill>
              <fgColor rgb="FFF29617"/>
              <bgColor rgb="FFF29617"/>
            </patternFill>
          </fill>
        </dxf>
        <dxf>
          <font>
            <sz val="12"/>
            <color rgb="FFF29617"/>
          </font>
          <fill>
            <patternFill>
              <fgColor rgb="FF1F1F1F"/>
              <bgColor rgb="FF282828"/>
            </patternFill>
          </fill>
        </dxf>
        <dxf>
          <font>
            <b val="0"/>
            <i val="0"/>
            <sz val="10"/>
            <color rgb="FF282828"/>
          </font>
          <fill>
            <patternFill>
              <fgColor rgb="FFF29617"/>
              <bgColor rgb="FFF29617"/>
            </patternFill>
          </fill>
        </dxf>
        <dxf>
          <font>
            <sz val="12"/>
            <color rgb="FFF29617"/>
          </font>
          <fill>
            <patternFill>
              <fgColor rgb="FF1F1F1F"/>
              <bgColor rgb="FF1F1F1F"/>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F29617"/>
              </a:solidFill>
              <a:ln w="19050">
                <a:solidFill>
                  <a:schemeClr val="lt1"/>
                </a:solidFill>
              </a:ln>
              <a:effectLst/>
            </c:spPr>
            <c:extLst>
              <c:ext xmlns:c16="http://schemas.microsoft.com/office/drawing/2014/chart" uri="{C3380CC4-5D6E-409C-BE32-E72D297353CC}">
                <c16:uniqueId val="{00000001-A655-4151-ACF4-E95081B0A6C3}"/>
              </c:ext>
            </c:extLst>
          </c:dPt>
          <c:dPt>
            <c:idx val="1"/>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3-A655-4151-ACF4-E95081B0A6C3}"/>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5-A655-4151-ACF4-E95081B0A6C3}"/>
              </c:ext>
            </c:extLst>
          </c:dPt>
          <c:cat>
            <c:strRef>
              <c:f>PivoteTable!$B$11:$B$13</c:f>
              <c:strCache>
                <c:ptCount val="3"/>
                <c:pt idx="0">
                  <c:v>Full-Time</c:v>
                </c:pt>
                <c:pt idx="1">
                  <c:v>Part-Time</c:v>
                </c:pt>
                <c:pt idx="2">
                  <c:v>Contract</c:v>
                </c:pt>
              </c:strCache>
            </c:strRef>
          </c:cat>
          <c:val>
            <c:numRef>
              <c:f>PivoteTable!$C$11:$C$13</c:f>
              <c:numCache>
                <c:formatCode>General</c:formatCode>
                <c:ptCount val="3"/>
                <c:pt idx="0">
                  <c:v>20</c:v>
                </c:pt>
                <c:pt idx="1">
                  <c:v>13</c:v>
                </c:pt>
                <c:pt idx="2">
                  <c:v>17</c:v>
                </c:pt>
              </c:numCache>
            </c:numRef>
          </c:val>
          <c:extLst>
            <c:ext xmlns:c16="http://schemas.microsoft.com/office/drawing/2014/chart" uri="{C3380CC4-5D6E-409C-BE32-E72D297353CC}">
              <c16:uniqueId val="{00000006-A655-4151-ACF4-E95081B0A6C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Analysts-Excel Dashboard(AutoRecovered).xlsx]PivoteTable!Age range-gender</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296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2961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296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s>
    <c:plotArea>
      <c:layout>
        <c:manualLayout>
          <c:layoutTarget val="inner"/>
          <c:xMode val="edge"/>
          <c:yMode val="edge"/>
          <c:x val="4.9976313936367707E-2"/>
          <c:y val="8.1173118305329792E-2"/>
          <c:w val="0.92647717815760833"/>
          <c:h val="0.75272225847046226"/>
        </c:manualLayout>
      </c:layout>
      <c:barChart>
        <c:barDir val="col"/>
        <c:grouping val="clustered"/>
        <c:varyColors val="0"/>
        <c:ser>
          <c:idx val="0"/>
          <c:order val="0"/>
          <c:tx>
            <c:strRef>
              <c:f>PivoteTable!$J$4:$J$5</c:f>
              <c:strCache>
                <c:ptCount val="1"/>
                <c:pt idx="0">
                  <c:v>Female</c:v>
                </c:pt>
              </c:strCache>
            </c:strRef>
          </c:tx>
          <c:spPr>
            <a:solidFill>
              <a:srgbClr val="F2961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PivoteTable!$I$6:$I$11</c:f>
              <c:strCache>
                <c:ptCount val="5"/>
                <c:pt idx="0">
                  <c:v>18-25</c:v>
                </c:pt>
                <c:pt idx="1">
                  <c:v>26-35</c:v>
                </c:pt>
                <c:pt idx="2">
                  <c:v>36-45</c:v>
                </c:pt>
                <c:pt idx="3">
                  <c:v>46-55</c:v>
                </c:pt>
                <c:pt idx="4">
                  <c:v>56 &lt;</c:v>
                </c:pt>
              </c:strCache>
            </c:strRef>
          </c:cat>
          <c:val>
            <c:numRef>
              <c:f>PivoteTable!$J$6:$J$11</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14-3F1E-41AF-9151-D663F39A64D9}"/>
            </c:ext>
          </c:extLst>
        </c:ser>
        <c:ser>
          <c:idx val="1"/>
          <c:order val="1"/>
          <c:tx>
            <c:strRef>
              <c:f>PivoteTable!$K$4:$K$5</c:f>
              <c:strCache>
                <c:ptCount val="1"/>
                <c:pt idx="0">
                  <c:v>Male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PivoteTable!$I$6:$I$11</c:f>
              <c:strCache>
                <c:ptCount val="5"/>
                <c:pt idx="0">
                  <c:v>18-25</c:v>
                </c:pt>
                <c:pt idx="1">
                  <c:v>26-35</c:v>
                </c:pt>
                <c:pt idx="2">
                  <c:v>36-45</c:v>
                </c:pt>
                <c:pt idx="3">
                  <c:v>46-55</c:v>
                </c:pt>
                <c:pt idx="4">
                  <c:v>56 &lt;</c:v>
                </c:pt>
              </c:strCache>
            </c:strRef>
          </c:cat>
          <c:val>
            <c:numRef>
              <c:f>PivoteTable!$K$6:$K$11</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2-D5A5-470D-9EAD-A55705E654FF}"/>
            </c:ext>
          </c:extLst>
        </c:ser>
        <c:dLbls>
          <c:dLblPos val="outEnd"/>
          <c:showLegendKey val="0"/>
          <c:showVal val="1"/>
          <c:showCatName val="0"/>
          <c:showSerName val="0"/>
          <c:showPercent val="0"/>
          <c:showBubbleSize val="0"/>
        </c:dLbls>
        <c:gapWidth val="219"/>
        <c:axId val="88882815"/>
        <c:axId val="2109707231"/>
      </c:barChart>
      <c:catAx>
        <c:axId val="8888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09707231"/>
        <c:crosses val="autoZero"/>
        <c:auto val="1"/>
        <c:lblAlgn val="ctr"/>
        <c:lblOffset val="100"/>
        <c:noMultiLvlLbl val="0"/>
      </c:catAx>
      <c:valAx>
        <c:axId val="2109707231"/>
        <c:scaling>
          <c:orientation val="minMax"/>
        </c:scaling>
        <c:delete val="1"/>
        <c:axPos val="l"/>
        <c:majorGridlines>
          <c:spPr>
            <a:ln w="9525" cap="flat" cmpd="sng" algn="ctr">
              <a:solidFill>
                <a:schemeClr val="tx1">
                  <a:lumMod val="65000"/>
                  <a:lumOff val="35000"/>
                  <a:alpha val="34000"/>
                </a:schemeClr>
              </a:solidFill>
              <a:prstDash val="dashDot"/>
              <a:round/>
            </a:ln>
            <a:effectLst/>
          </c:spPr>
        </c:majorGridlines>
        <c:numFmt formatCode="General" sourceLinked="1"/>
        <c:majorTickMark val="none"/>
        <c:minorTickMark val="none"/>
        <c:tickLblPos val="nextTo"/>
        <c:crossAx val="88882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F29617"/>
            </a:solidFill>
            <a:ln>
              <a:noFill/>
            </a:ln>
            <a:effectLst/>
          </c:spPr>
          <c:invertIfNegative val="0"/>
          <c:val>
            <c:numRef>
              <c:f>PivoteTable!$P$13</c:f>
              <c:numCache>
                <c:formatCode>0%</c:formatCode>
                <c:ptCount val="1"/>
                <c:pt idx="0">
                  <c:v>0.46</c:v>
                </c:pt>
              </c:numCache>
            </c:numRef>
          </c:val>
          <c:extLst>
            <c:ext xmlns:c16="http://schemas.microsoft.com/office/drawing/2014/chart" uri="{C3380CC4-5D6E-409C-BE32-E72D297353CC}">
              <c16:uniqueId val="{00000000-3ACE-4844-A145-9D4144BCCDDD}"/>
            </c:ext>
          </c:extLst>
        </c:ser>
        <c:ser>
          <c:idx val="1"/>
          <c:order val="1"/>
          <c:spPr>
            <a:solidFill>
              <a:srgbClr val="1F1F1F"/>
            </a:solidFill>
            <a:ln>
              <a:noFill/>
            </a:ln>
            <a:effectLst/>
          </c:spPr>
          <c:invertIfNegative val="0"/>
          <c:val>
            <c:numRef>
              <c:f>PivoteTable!$Q$13</c:f>
              <c:numCache>
                <c:formatCode>0%</c:formatCode>
                <c:ptCount val="1"/>
                <c:pt idx="0">
                  <c:v>0.54</c:v>
                </c:pt>
              </c:numCache>
            </c:numRef>
          </c:val>
          <c:extLst>
            <c:ext xmlns:c16="http://schemas.microsoft.com/office/drawing/2014/chart" uri="{C3380CC4-5D6E-409C-BE32-E72D297353CC}">
              <c16:uniqueId val="{00000001-3ACE-4844-A145-9D4144BCCDDD}"/>
            </c:ext>
          </c:extLst>
        </c:ser>
        <c:dLbls>
          <c:showLegendKey val="0"/>
          <c:showVal val="0"/>
          <c:showCatName val="0"/>
          <c:showSerName val="0"/>
          <c:showPercent val="0"/>
          <c:showBubbleSize val="0"/>
        </c:dLbls>
        <c:gapWidth val="150"/>
        <c:overlap val="100"/>
        <c:axId val="118979519"/>
        <c:axId val="118980351"/>
      </c:barChart>
      <c:catAx>
        <c:axId val="118979519"/>
        <c:scaling>
          <c:orientation val="minMax"/>
        </c:scaling>
        <c:delete val="1"/>
        <c:axPos val="l"/>
        <c:majorTickMark val="none"/>
        <c:minorTickMark val="none"/>
        <c:tickLblPos val="nextTo"/>
        <c:crossAx val="118980351"/>
        <c:crosses val="autoZero"/>
        <c:auto val="1"/>
        <c:lblAlgn val="ctr"/>
        <c:lblOffset val="100"/>
        <c:noMultiLvlLbl val="0"/>
      </c:catAx>
      <c:valAx>
        <c:axId val="118980351"/>
        <c:scaling>
          <c:orientation val="minMax"/>
        </c:scaling>
        <c:delete val="1"/>
        <c:axPos val="b"/>
        <c:numFmt formatCode="0%" sourceLinked="1"/>
        <c:majorTickMark val="none"/>
        <c:minorTickMark val="none"/>
        <c:tickLblPos val="nextTo"/>
        <c:crossAx val="118979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F29617"/>
            </a:solidFill>
            <a:ln>
              <a:noFill/>
            </a:ln>
            <a:effectLst/>
          </c:spPr>
          <c:invertIfNegative val="0"/>
          <c:val>
            <c:numRef>
              <c:f>PivoteTable!$P$14</c:f>
              <c:numCache>
                <c:formatCode>0%</c:formatCode>
                <c:ptCount val="1"/>
                <c:pt idx="0">
                  <c:v>0.16</c:v>
                </c:pt>
              </c:numCache>
            </c:numRef>
          </c:val>
          <c:extLst>
            <c:ext xmlns:c16="http://schemas.microsoft.com/office/drawing/2014/chart" uri="{C3380CC4-5D6E-409C-BE32-E72D297353CC}">
              <c16:uniqueId val="{00000000-1289-4964-8D08-92C62CE158EE}"/>
            </c:ext>
          </c:extLst>
        </c:ser>
        <c:ser>
          <c:idx val="1"/>
          <c:order val="1"/>
          <c:spPr>
            <a:solidFill>
              <a:srgbClr val="1F1F1F"/>
            </a:solidFill>
            <a:ln>
              <a:noFill/>
            </a:ln>
            <a:effectLst/>
          </c:spPr>
          <c:invertIfNegative val="0"/>
          <c:val>
            <c:numRef>
              <c:f>PivoteTable!$Q$14</c:f>
              <c:numCache>
                <c:formatCode>0%</c:formatCode>
                <c:ptCount val="1"/>
                <c:pt idx="0">
                  <c:v>0.84</c:v>
                </c:pt>
              </c:numCache>
            </c:numRef>
          </c:val>
          <c:extLst>
            <c:ext xmlns:c16="http://schemas.microsoft.com/office/drawing/2014/chart" uri="{C3380CC4-5D6E-409C-BE32-E72D297353CC}">
              <c16:uniqueId val="{00000001-1289-4964-8D08-92C62CE158EE}"/>
            </c:ext>
          </c:extLst>
        </c:ser>
        <c:dLbls>
          <c:showLegendKey val="0"/>
          <c:showVal val="0"/>
          <c:showCatName val="0"/>
          <c:showSerName val="0"/>
          <c:showPercent val="0"/>
          <c:showBubbleSize val="0"/>
        </c:dLbls>
        <c:gapWidth val="150"/>
        <c:overlap val="100"/>
        <c:axId val="118984927"/>
        <c:axId val="118971199"/>
      </c:barChart>
      <c:catAx>
        <c:axId val="118984927"/>
        <c:scaling>
          <c:orientation val="minMax"/>
        </c:scaling>
        <c:delete val="1"/>
        <c:axPos val="l"/>
        <c:majorTickMark val="none"/>
        <c:minorTickMark val="none"/>
        <c:tickLblPos val="nextTo"/>
        <c:crossAx val="118971199"/>
        <c:crosses val="autoZero"/>
        <c:auto val="1"/>
        <c:lblAlgn val="ctr"/>
        <c:lblOffset val="100"/>
        <c:noMultiLvlLbl val="0"/>
      </c:catAx>
      <c:valAx>
        <c:axId val="118971199"/>
        <c:scaling>
          <c:orientation val="minMax"/>
        </c:scaling>
        <c:delete val="1"/>
        <c:axPos val="b"/>
        <c:numFmt formatCode="0%" sourceLinked="1"/>
        <c:majorTickMark val="none"/>
        <c:minorTickMark val="none"/>
        <c:tickLblPos val="nextTo"/>
        <c:crossAx val="118984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F29617"/>
            </a:solidFill>
            <a:ln>
              <a:noFill/>
            </a:ln>
            <a:effectLst/>
          </c:spPr>
          <c:invertIfNegative val="0"/>
          <c:val>
            <c:numRef>
              <c:f>PivoteTable!$P$15</c:f>
              <c:numCache>
                <c:formatCode>0%</c:formatCode>
                <c:ptCount val="1"/>
                <c:pt idx="0">
                  <c:v>0.38</c:v>
                </c:pt>
              </c:numCache>
            </c:numRef>
          </c:val>
          <c:extLst>
            <c:ext xmlns:c16="http://schemas.microsoft.com/office/drawing/2014/chart" uri="{C3380CC4-5D6E-409C-BE32-E72D297353CC}">
              <c16:uniqueId val="{00000000-9519-4313-9F5E-2874C68D064F}"/>
            </c:ext>
          </c:extLst>
        </c:ser>
        <c:ser>
          <c:idx val="1"/>
          <c:order val="1"/>
          <c:spPr>
            <a:solidFill>
              <a:srgbClr val="1F1F1F"/>
            </a:solidFill>
            <a:ln>
              <a:noFill/>
            </a:ln>
            <a:effectLst/>
          </c:spPr>
          <c:invertIfNegative val="0"/>
          <c:val>
            <c:numRef>
              <c:f>PivoteTable!$Q$15</c:f>
              <c:numCache>
                <c:formatCode>0%</c:formatCode>
                <c:ptCount val="1"/>
                <c:pt idx="0">
                  <c:v>0.62</c:v>
                </c:pt>
              </c:numCache>
            </c:numRef>
          </c:val>
          <c:extLst>
            <c:ext xmlns:c16="http://schemas.microsoft.com/office/drawing/2014/chart" uri="{C3380CC4-5D6E-409C-BE32-E72D297353CC}">
              <c16:uniqueId val="{00000001-9519-4313-9F5E-2874C68D064F}"/>
            </c:ext>
          </c:extLst>
        </c:ser>
        <c:dLbls>
          <c:showLegendKey val="0"/>
          <c:showVal val="0"/>
          <c:showCatName val="0"/>
          <c:showSerName val="0"/>
          <c:showPercent val="0"/>
          <c:showBubbleSize val="0"/>
        </c:dLbls>
        <c:gapWidth val="150"/>
        <c:overlap val="100"/>
        <c:axId val="118985343"/>
        <c:axId val="118982431"/>
      </c:barChart>
      <c:catAx>
        <c:axId val="118985343"/>
        <c:scaling>
          <c:orientation val="minMax"/>
        </c:scaling>
        <c:delete val="1"/>
        <c:axPos val="l"/>
        <c:majorTickMark val="none"/>
        <c:minorTickMark val="none"/>
        <c:tickLblPos val="nextTo"/>
        <c:crossAx val="118982431"/>
        <c:crosses val="autoZero"/>
        <c:auto val="1"/>
        <c:lblAlgn val="ctr"/>
        <c:lblOffset val="100"/>
        <c:noMultiLvlLbl val="0"/>
      </c:catAx>
      <c:valAx>
        <c:axId val="118982431"/>
        <c:scaling>
          <c:orientation val="minMax"/>
        </c:scaling>
        <c:delete val="1"/>
        <c:axPos val="b"/>
        <c:numFmt formatCode="0%" sourceLinked="1"/>
        <c:majorTickMark val="none"/>
        <c:minorTickMark val="none"/>
        <c:tickLblPos val="nextTo"/>
        <c:crossAx val="118985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29617"/>
              </a:solidFill>
              <a:ln w="19050">
                <a:noFill/>
              </a:ln>
              <a:effectLst/>
            </c:spPr>
            <c:extLst>
              <c:ext xmlns:c16="http://schemas.microsoft.com/office/drawing/2014/chart" uri="{C3380CC4-5D6E-409C-BE32-E72D297353CC}">
                <c16:uniqueId val="{00000001-391E-44EE-B702-6014DF575739}"/>
              </c:ext>
            </c:extLst>
          </c:dPt>
          <c:dPt>
            <c:idx val="1"/>
            <c:bubble3D val="0"/>
            <c:spPr>
              <a:solidFill>
                <a:schemeClr val="tx1">
                  <a:lumMod val="85000"/>
                  <a:lumOff val="15000"/>
                </a:schemeClr>
              </a:solidFill>
              <a:ln w="19050">
                <a:noFill/>
              </a:ln>
              <a:effectLst/>
            </c:spPr>
            <c:extLst>
              <c:ext xmlns:c16="http://schemas.microsoft.com/office/drawing/2014/chart" uri="{C3380CC4-5D6E-409C-BE32-E72D297353CC}">
                <c16:uniqueId val="{00000003-391E-44EE-B702-6014DF575739}"/>
              </c:ext>
            </c:extLst>
          </c:dPt>
          <c:val>
            <c:numRef>
              <c:f>PivoteTable!$K$22:$L$22</c:f>
              <c:numCache>
                <c:formatCode>0%</c:formatCode>
                <c:ptCount val="2"/>
                <c:pt idx="0">
                  <c:v>0.48</c:v>
                </c:pt>
                <c:pt idx="1">
                  <c:v>0.52</c:v>
                </c:pt>
              </c:numCache>
            </c:numRef>
          </c:val>
          <c:extLst>
            <c:ext xmlns:c16="http://schemas.microsoft.com/office/drawing/2014/chart" uri="{C3380CC4-5D6E-409C-BE32-E72D297353CC}">
              <c16:uniqueId val="{00000004-391E-44EE-B702-6014DF575739}"/>
            </c:ext>
          </c:extLst>
        </c:ser>
        <c:dLbls>
          <c:showLegendKey val="0"/>
          <c:showVal val="0"/>
          <c:showCatName val="0"/>
          <c:showSerName val="0"/>
          <c:showPercent val="0"/>
          <c:showBubbleSize val="0"/>
          <c:showLeaderLines val="1"/>
        </c:dLbls>
        <c:firstSliceAng val="0"/>
        <c:holeSize val="76"/>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8087-4E53-A824-E3E697607B44}"/>
              </c:ext>
            </c:extLst>
          </c:dPt>
          <c:dPt>
            <c:idx val="1"/>
            <c:bubble3D val="0"/>
            <c:spPr>
              <a:noFill/>
              <a:ln w="19050">
                <a:noFill/>
              </a:ln>
              <a:effectLst/>
            </c:spPr>
            <c:extLst>
              <c:ext xmlns:c16="http://schemas.microsoft.com/office/drawing/2014/chart" uri="{C3380CC4-5D6E-409C-BE32-E72D297353CC}">
                <c16:uniqueId val="{00000003-8087-4E53-A824-E3E697607B44}"/>
              </c:ext>
            </c:extLst>
          </c:dPt>
          <c:val>
            <c:numRef>
              <c:f>PivoteTable!$K$21:$L$21</c:f>
              <c:numCache>
                <c:formatCode>0%</c:formatCode>
                <c:ptCount val="2"/>
                <c:pt idx="0">
                  <c:v>0.52</c:v>
                </c:pt>
                <c:pt idx="1">
                  <c:v>0.48</c:v>
                </c:pt>
              </c:numCache>
            </c:numRef>
          </c:val>
          <c:extLst>
            <c:ext xmlns:c16="http://schemas.microsoft.com/office/drawing/2014/chart" uri="{C3380CC4-5D6E-409C-BE32-E72D297353CC}">
              <c16:uniqueId val="{00000004-8087-4E53-A824-E3E697607B44}"/>
            </c:ext>
          </c:extLst>
        </c:ser>
        <c:dLbls>
          <c:showLegendKey val="0"/>
          <c:showVal val="0"/>
          <c:showCatName val="0"/>
          <c:showSerName val="0"/>
          <c:showPercent val="0"/>
          <c:showBubbleSize val="0"/>
          <c:showLeaderLines val="1"/>
        </c:dLbls>
        <c:firstSliceAng val="0"/>
        <c:holeSize val="76"/>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766793409378963E-2"/>
          <c:y val="6.4046579330422126E-2"/>
          <c:w val="0.88846641318124209"/>
          <c:h val="0.69723435225618635"/>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77933C"/>
              </a:solidFill>
              <a:ln>
                <a:noFill/>
              </a:ln>
              <a:effectLst/>
            </c:spPr>
            <c:extLst>
              <c:ext xmlns:c16="http://schemas.microsoft.com/office/drawing/2014/chart" uri="{C3380CC4-5D6E-409C-BE32-E72D297353CC}">
                <c16:uniqueId val="{00000005-BCA1-4E68-9581-9A4E15DAFEE0}"/>
              </c:ext>
            </c:extLst>
          </c:dPt>
          <c:dPt>
            <c:idx val="1"/>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4-BCA1-4E68-9581-9A4E15DAFEE0}"/>
              </c:ext>
            </c:extLst>
          </c:dPt>
          <c:dPt>
            <c:idx val="2"/>
            <c:invertIfNegative val="0"/>
            <c:bubble3D val="0"/>
            <c:spPr>
              <a:solidFill>
                <a:srgbClr val="948A54"/>
              </a:solidFill>
              <a:ln>
                <a:noFill/>
              </a:ln>
              <a:effectLst/>
            </c:spPr>
            <c:extLst>
              <c:ext xmlns:c16="http://schemas.microsoft.com/office/drawing/2014/chart" uri="{C3380CC4-5D6E-409C-BE32-E72D297353CC}">
                <c16:uniqueId val="{00000003-BCA1-4E68-9581-9A4E15DAFEE0}"/>
              </c:ext>
            </c:extLst>
          </c:dPt>
          <c:dPt>
            <c:idx val="3"/>
            <c:invertIfNegative val="0"/>
            <c:bubble3D val="0"/>
            <c:spPr>
              <a:solidFill>
                <a:schemeClr val="bg1">
                  <a:lumMod val="95000"/>
                </a:schemeClr>
              </a:solidFill>
              <a:ln>
                <a:noFill/>
              </a:ln>
              <a:effectLst/>
            </c:spPr>
            <c:extLst>
              <c:ext xmlns:c16="http://schemas.microsoft.com/office/drawing/2014/chart" uri="{C3380CC4-5D6E-409C-BE32-E72D297353CC}">
                <c16:uniqueId val="{00000002-BCA1-4E68-9581-9A4E15DAFEE0}"/>
              </c:ext>
            </c:extLst>
          </c:dPt>
          <c:dPt>
            <c:idx val="4"/>
            <c:invertIfNegative val="0"/>
            <c:bubble3D val="0"/>
            <c:spPr>
              <a:solidFill>
                <a:srgbClr val="F29617"/>
              </a:solidFill>
              <a:ln>
                <a:noFill/>
              </a:ln>
              <a:effectLst/>
            </c:spPr>
            <c:extLst>
              <c:ext xmlns:c16="http://schemas.microsoft.com/office/drawing/2014/chart" uri="{C3380CC4-5D6E-409C-BE32-E72D297353CC}">
                <c16:uniqueId val="{00000001-BCA1-4E68-9581-9A4E15DAFEE0}"/>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(PivoteTable!$E$12,PivoteTable!$E$13,PivoteTable!$E$14,PivoteTable!$E$15,PivoteTable!$E$16)</c:f>
              <c:strCache>
                <c:ptCount val="5"/>
                <c:pt idx="0">
                  <c:v>Analyst</c:v>
                </c:pt>
                <c:pt idx="1">
                  <c:v>Designer</c:v>
                </c:pt>
                <c:pt idx="2">
                  <c:v>Developer</c:v>
                </c:pt>
                <c:pt idx="3">
                  <c:v>HR Specialist</c:v>
                </c:pt>
                <c:pt idx="4">
                  <c:v>Manager</c:v>
                </c:pt>
              </c:strCache>
            </c:strRef>
          </c:cat>
          <c:val>
            <c:numRef>
              <c:f>(PivoteTable!$G$12,PivoteTable!$G$13,PivoteTable!$G$14,PivoteTable!$G$15,PivoteTable!$G$16)</c:f>
              <c:numCache>
                <c:formatCode>General</c:formatCode>
                <c:ptCount val="5"/>
                <c:pt idx="0">
                  <c:v>28</c:v>
                </c:pt>
                <c:pt idx="1">
                  <c:v>110</c:v>
                </c:pt>
                <c:pt idx="2">
                  <c:v>104</c:v>
                </c:pt>
                <c:pt idx="3">
                  <c:v>123</c:v>
                </c:pt>
                <c:pt idx="4">
                  <c:v>122</c:v>
                </c:pt>
              </c:numCache>
            </c:numRef>
          </c:val>
          <c:extLst>
            <c:ext xmlns:c16="http://schemas.microsoft.com/office/drawing/2014/chart" uri="{C3380CC4-5D6E-409C-BE32-E72D297353CC}">
              <c16:uniqueId val="{00000000-AE8E-4938-B1B6-6801D070AC68}"/>
            </c:ext>
          </c:extLst>
        </c:ser>
        <c:dLbls>
          <c:showLegendKey val="0"/>
          <c:showVal val="0"/>
          <c:showCatName val="0"/>
          <c:showSerName val="0"/>
          <c:showPercent val="0"/>
          <c:showBubbleSize val="0"/>
        </c:dLbls>
        <c:gapWidth val="100"/>
        <c:overlap val="-27"/>
        <c:axId val="1902065808"/>
        <c:axId val="1902065392"/>
      </c:barChart>
      <c:catAx>
        <c:axId val="1902065808"/>
        <c:scaling>
          <c:orientation val="minMax"/>
        </c:scaling>
        <c:delete val="1"/>
        <c:axPos val="b"/>
        <c:numFmt formatCode="General" sourceLinked="1"/>
        <c:majorTickMark val="none"/>
        <c:minorTickMark val="none"/>
        <c:tickLblPos val="nextTo"/>
        <c:crossAx val="1902065392"/>
        <c:crosses val="autoZero"/>
        <c:auto val="1"/>
        <c:lblAlgn val="ctr"/>
        <c:lblOffset val="100"/>
        <c:noMultiLvlLbl val="0"/>
      </c:catAx>
      <c:valAx>
        <c:axId val="1902065392"/>
        <c:scaling>
          <c:orientation val="minMax"/>
        </c:scaling>
        <c:delete val="1"/>
        <c:axPos val="l"/>
        <c:majorGridlines>
          <c:spPr>
            <a:ln w="9525" cap="rnd" cmpd="sng" algn="ctr">
              <a:solidFill>
                <a:schemeClr val="tx1">
                  <a:lumMod val="65000"/>
                  <a:lumOff val="35000"/>
                  <a:alpha val="50000"/>
                </a:schemeClr>
              </a:solidFill>
              <a:prstDash val="dashDot"/>
              <a:round/>
            </a:ln>
            <a:effectLst/>
          </c:spPr>
        </c:majorGridlines>
        <c:numFmt formatCode="General" sourceLinked="1"/>
        <c:majorTickMark val="none"/>
        <c:minorTickMark val="none"/>
        <c:tickLblPos val="nextTo"/>
        <c:crossAx val="1902065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Analysts-Excel Dashboard(AutoRecovered).xlsx]PivoteTable!Regions</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PivoteTable!$W$4</c:f>
              <c:strCache>
                <c:ptCount val="1"/>
                <c:pt idx="0">
                  <c:v>Total</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PivoteTable!$V$5:$V$10</c:f>
              <c:strCache>
                <c:ptCount val="5"/>
                <c:pt idx="0">
                  <c:v>North</c:v>
                </c:pt>
                <c:pt idx="1">
                  <c:v>West</c:v>
                </c:pt>
                <c:pt idx="2">
                  <c:v>East</c:v>
                </c:pt>
                <c:pt idx="3">
                  <c:v>South</c:v>
                </c:pt>
                <c:pt idx="4">
                  <c:v>Central</c:v>
                </c:pt>
              </c:strCache>
            </c:strRef>
          </c:cat>
          <c:val>
            <c:numRef>
              <c:f>PivoteTable!$W$5:$W$10</c:f>
              <c:numCache>
                <c:formatCode>General</c:formatCode>
                <c:ptCount val="5"/>
                <c:pt idx="0">
                  <c:v>7</c:v>
                </c:pt>
                <c:pt idx="1">
                  <c:v>9</c:v>
                </c:pt>
                <c:pt idx="2">
                  <c:v>10</c:v>
                </c:pt>
                <c:pt idx="3">
                  <c:v>10</c:v>
                </c:pt>
                <c:pt idx="4">
                  <c:v>14</c:v>
                </c:pt>
              </c:numCache>
            </c:numRef>
          </c:val>
          <c:extLst>
            <c:ext xmlns:c16="http://schemas.microsoft.com/office/drawing/2014/chart" uri="{C3380CC4-5D6E-409C-BE32-E72D297353CC}">
              <c16:uniqueId val="{00000000-C58B-46B3-9C59-BFDE802EAAEA}"/>
            </c:ext>
          </c:extLst>
        </c:ser>
        <c:dLbls>
          <c:showLegendKey val="0"/>
          <c:showVal val="0"/>
          <c:showCatName val="0"/>
          <c:showSerName val="0"/>
          <c:showPercent val="0"/>
          <c:showBubbleSize val="0"/>
        </c:dLbls>
        <c:gapWidth val="95"/>
        <c:axId val="1079577152"/>
        <c:axId val="1079587136"/>
      </c:barChart>
      <c:catAx>
        <c:axId val="1079577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079587136"/>
        <c:crosses val="autoZero"/>
        <c:auto val="1"/>
        <c:lblAlgn val="ctr"/>
        <c:lblOffset val="100"/>
        <c:noMultiLvlLbl val="0"/>
      </c:catAx>
      <c:valAx>
        <c:axId val="1079587136"/>
        <c:scaling>
          <c:orientation val="minMax"/>
        </c:scaling>
        <c:delete val="1"/>
        <c:axPos val="b"/>
        <c:numFmt formatCode="General" sourceLinked="1"/>
        <c:majorTickMark val="none"/>
        <c:minorTickMark val="none"/>
        <c:tickLblPos val="nextTo"/>
        <c:crossAx val="1079577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9.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2</xdr:col>
      <xdr:colOff>657225</xdr:colOff>
      <xdr:row>21</xdr:row>
      <xdr:rowOff>95250</xdr:rowOff>
    </xdr:from>
    <xdr:to>
      <xdr:col>4</xdr:col>
      <xdr:colOff>790575</xdr:colOff>
      <xdr:row>26</xdr:row>
      <xdr:rowOff>123825</xdr:rowOff>
    </xdr:to>
    <mc:AlternateContent xmlns:mc="http://schemas.openxmlformats.org/markup-compatibility/2006" xmlns:a14="http://schemas.microsoft.com/office/drawing/2010/main">
      <mc:Choice Requires="a14">
        <xdr:graphicFrame macro="">
          <xdr:nvGraphicFramePr>
            <xdr:cNvPr id="6" name="Gender 2">
              <a:extLst>
                <a:ext uri="{FF2B5EF4-FFF2-40B4-BE49-F238E27FC236}">
                  <a16:creationId xmlns:a16="http://schemas.microsoft.com/office/drawing/2014/main" id="{04777AA1-8FE2-4075-A688-211CAE84DF5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971675" y="4143375"/>
              <a:ext cx="182880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990600</xdr:colOff>
      <xdr:row>19</xdr:row>
      <xdr:rowOff>180976</xdr:rowOff>
    </xdr:from>
    <xdr:to>
      <xdr:col>6</xdr:col>
      <xdr:colOff>828675</xdr:colOff>
      <xdr:row>28</xdr:row>
      <xdr:rowOff>104776</xdr:rowOff>
    </xdr:to>
    <mc:AlternateContent xmlns:mc="http://schemas.openxmlformats.org/markup-compatibility/2006" xmlns:a14="http://schemas.microsoft.com/office/drawing/2010/main">
      <mc:Choice Requires="a14">
        <xdr:graphicFrame macro="">
          <xdr:nvGraphicFramePr>
            <xdr:cNvPr id="7" name="Department 2">
              <a:extLst>
                <a:ext uri="{FF2B5EF4-FFF2-40B4-BE49-F238E27FC236}">
                  <a16:creationId xmlns:a16="http://schemas.microsoft.com/office/drawing/2014/main" id="{B55D8929-90D3-4E3C-8D90-E27D13023A63}"/>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4000500" y="3848101"/>
              <a:ext cx="1828800"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342901</xdr:colOff>
      <xdr:row>0</xdr:row>
      <xdr:rowOff>85724</xdr:rowOff>
    </xdr:from>
    <xdr:to>
      <xdr:col>22</xdr:col>
      <xdr:colOff>133351</xdr:colOff>
      <xdr:row>34</xdr:row>
      <xdr:rowOff>38100</xdr:rowOff>
    </xdr:to>
    <xdr:sp macro="" textlink="">
      <xdr:nvSpPr>
        <xdr:cNvPr id="2" name="Rectangle: Rounded Corners 1">
          <a:extLst>
            <a:ext uri="{FF2B5EF4-FFF2-40B4-BE49-F238E27FC236}">
              <a16:creationId xmlns:a16="http://schemas.microsoft.com/office/drawing/2014/main" id="{7C10A280-1D23-40AB-9833-11607BF63CCB}"/>
            </a:ext>
          </a:extLst>
        </xdr:cNvPr>
        <xdr:cNvSpPr/>
      </xdr:nvSpPr>
      <xdr:spPr>
        <a:xfrm>
          <a:off x="3390901" y="85724"/>
          <a:ext cx="10153650" cy="6105526"/>
        </a:xfrm>
        <a:prstGeom prst="roundRect">
          <a:avLst>
            <a:gd name="adj" fmla="val 3208"/>
          </a:avLst>
        </a:prstGeom>
        <a:solidFill>
          <a:srgbClr val="1F1F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latin typeface="Kulim Park"/>
          </a:endParaRPr>
        </a:p>
      </xdr:txBody>
    </xdr:sp>
    <xdr:clientData/>
  </xdr:twoCellAnchor>
  <xdr:twoCellAnchor>
    <xdr:from>
      <xdr:col>5</xdr:col>
      <xdr:colOff>390524</xdr:colOff>
      <xdr:row>23</xdr:row>
      <xdr:rowOff>114299</xdr:rowOff>
    </xdr:from>
    <xdr:to>
      <xdr:col>8</xdr:col>
      <xdr:colOff>469724</xdr:colOff>
      <xdr:row>33</xdr:row>
      <xdr:rowOff>104549</xdr:rowOff>
    </xdr:to>
    <xdr:sp macro="" textlink="">
      <xdr:nvSpPr>
        <xdr:cNvPr id="3" name="Rectangle: Rounded Corners 2">
          <a:extLst>
            <a:ext uri="{FF2B5EF4-FFF2-40B4-BE49-F238E27FC236}">
              <a16:creationId xmlns:a16="http://schemas.microsoft.com/office/drawing/2014/main" id="{1F6C703F-BCF0-4657-90C4-5B9B7230235E}"/>
            </a:ext>
          </a:extLst>
        </xdr:cNvPr>
        <xdr:cNvSpPr/>
      </xdr:nvSpPr>
      <xdr:spPr>
        <a:xfrm>
          <a:off x="3438524" y="4276724"/>
          <a:ext cx="1908000" cy="1800000"/>
        </a:xfrm>
        <a:prstGeom prst="roundRect">
          <a:avLst>
            <a:gd name="adj" fmla="val 11906"/>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457200</xdr:colOff>
      <xdr:row>23</xdr:row>
      <xdr:rowOff>114299</xdr:rowOff>
    </xdr:from>
    <xdr:to>
      <xdr:col>8</xdr:col>
      <xdr:colOff>469724</xdr:colOff>
      <xdr:row>33</xdr:row>
      <xdr:rowOff>104549</xdr:rowOff>
    </xdr:to>
    <xdr:sp macro="" textlink="">
      <xdr:nvSpPr>
        <xdr:cNvPr id="4" name="Rectangle: Rounded Corners 3">
          <a:extLst>
            <a:ext uri="{FF2B5EF4-FFF2-40B4-BE49-F238E27FC236}">
              <a16:creationId xmlns:a16="http://schemas.microsoft.com/office/drawing/2014/main" id="{30AC769A-B740-4BF2-918D-430A7045E853}"/>
            </a:ext>
          </a:extLst>
        </xdr:cNvPr>
        <xdr:cNvSpPr/>
      </xdr:nvSpPr>
      <xdr:spPr>
        <a:xfrm>
          <a:off x="3505200" y="4276724"/>
          <a:ext cx="1841324" cy="1800000"/>
        </a:xfrm>
        <a:prstGeom prst="roundRect">
          <a:avLst>
            <a:gd name="adj" fmla="val 11906"/>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419099</xdr:colOff>
      <xdr:row>6</xdr:row>
      <xdr:rowOff>66676</xdr:rowOff>
    </xdr:from>
    <xdr:to>
      <xdr:col>8</xdr:col>
      <xdr:colOff>460198</xdr:colOff>
      <xdr:row>22</xdr:row>
      <xdr:rowOff>152174</xdr:rowOff>
    </xdr:to>
    <xdr:sp macro="" textlink="">
      <xdr:nvSpPr>
        <xdr:cNvPr id="5" name="Rectangle: Rounded Corners 4">
          <a:extLst>
            <a:ext uri="{FF2B5EF4-FFF2-40B4-BE49-F238E27FC236}">
              <a16:creationId xmlns:a16="http://schemas.microsoft.com/office/drawing/2014/main" id="{C0619672-F4E8-49FE-86EE-8B0B63FEBE98}"/>
            </a:ext>
          </a:extLst>
        </xdr:cNvPr>
        <xdr:cNvSpPr/>
      </xdr:nvSpPr>
      <xdr:spPr>
        <a:xfrm>
          <a:off x="3467099" y="1152526"/>
          <a:ext cx="1869899" cy="2981098"/>
        </a:xfrm>
        <a:prstGeom prst="roundRect">
          <a:avLst>
            <a:gd name="adj" fmla="val 11906"/>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9524</xdr:colOff>
      <xdr:row>20</xdr:row>
      <xdr:rowOff>117224</xdr:rowOff>
    </xdr:from>
    <xdr:to>
      <xdr:col>13</xdr:col>
      <xdr:colOff>19124</xdr:colOff>
      <xdr:row>33</xdr:row>
      <xdr:rowOff>104549</xdr:rowOff>
    </xdr:to>
    <xdr:sp macro="" textlink="">
      <xdr:nvSpPr>
        <xdr:cNvPr id="7" name="Rectangle: Rounded Corners 6">
          <a:extLst>
            <a:ext uri="{FF2B5EF4-FFF2-40B4-BE49-F238E27FC236}">
              <a16:creationId xmlns:a16="http://schemas.microsoft.com/office/drawing/2014/main" id="{8959A6BE-0A62-45F9-B7C8-B71EE5314648}"/>
            </a:ext>
          </a:extLst>
        </xdr:cNvPr>
        <xdr:cNvSpPr/>
      </xdr:nvSpPr>
      <xdr:spPr>
        <a:xfrm>
          <a:off x="5495924" y="3736724"/>
          <a:ext cx="2448000" cy="2340000"/>
        </a:xfrm>
        <a:prstGeom prst="roundRect">
          <a:avLst>
            <a:gd name="adj" fmla="val 11906"/>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180974</xdr:colOff>
      <xdr:row>20</xdr:row>
      <xdr:rowOff>60074</xdr:rowOff>
    </xdr:from>
    <xdr:to>
      <xdr:col>17</xdr:col>
      <xdr:colOff>190574</xdr:colOff>
      <xdr:row>33</xdr:row>
      <xdr:rowOff>47399</xdr:rowOff>
    </xdr:to>
    <xdr:sp macro="" textlink="">
      <xdr:nvSpPr>
        <xdr:cNvPr id="8" name="Rectangle: Rounded Corners 7">
          <a:extLst>
            <a:ext uri="{FF2B5EF4-FFF2-40B4-BE49-F238E27FC236}">
              <a16:creationId xmlns:a16="http://schemas.microsoft.com/office/drawing/2014/main" id="{A2110AA5-691E-4649-9801-2D5D049B31E9}"/>
            </a:ext>
          </a:extLst>
        </xdr:cNvPr>
        <xdr:cNvSpPr/>
      </xdr:nvSpPr>
      <xdr:spPr>
        <a:xfrm>
          <a:off x="8105774" y="3679574"/>
          <a:ext cx="2448000" cy="2340000"/>
        </a:xfrm>
        <a:prstGeom prst="roundRect">
          <a:avLst>
            <a:gd name="adj" fmla="val 11906"/>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171449</xdr:colOff>
      <xdr:row>6</xdr:row>
      <xdr:rowOff>1</xdr:rowOff>
    </xdr:from>
    <xdr:to>
      <xdr:col>17</xdr:col>
      <xdr:colOff>181049</xdr:colOff>
      <xdr:row>19</xdr:row>
      <xdr:rowOff>161700</xdr:rowOff>
    </xdr:to>
    <xdr:sp macro="" textlink="">
      <xdr:nvSpPr>
        <xdr:cNvPr id="9" name="Rectangle: Rounded Corners 8">
          <a:extLst>
            <a:ext uri="{FF2B5EF4-FFF2-40B4-BE49-F238E27FC236}">
              <a16:creationId xmlns:a16="http://schemas.microsoft.com/office/drawing/2014/main" id="{750FA6D7-CA60-42E5-884D-F90099E745D3}"/>
            </a:ext>
          </a:extLst>
        </xdr:cNvPr>
        <xdr:cNvSpPr/>
      </xdr:nvSpPr>
      <xdr:spPr>
        <a:xfrm>
          <a:off x="8096249" y="1085851"/>
          <a:ext cx="2448000" cy="2514374"/>
        </a:xfrm>
        <a:prstGeom prst="roundRect">
          <a:avLst>
            <a:gd name="adj" fmla="val 11906"/>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19049</xdr:colOff>
      <xdr:row>6</xdr:row>
      <xdr:rowOff>60075</xdr:rowOff>
    </xdr:from>
    <xdr:to>
      <xdr:col>13</xdr:col>
      <xdr:colOff>28649</xdr:colOff>
      <xdr:row>12</xdr:row>
      <xdr:rowOff>152401</xdr:rowOff>
    </xdr:to>
    <xdr:sp macro="" textlink="">
      <xdr:nvSpPr>
        <xdr:cNvPr id="16" name="Rectangle: Rounded Corners 15">
          <a:extLst>
            <a:ext uri="{FF2B5EF4-FFF2-40B4-BE49-F238E27FC236}">
              <a16:creationId xmlns:a16="http://schemas.microsoft.com/office/drawing/2014/main" id="{945D7AA7-700C-4DA1-AD2F-ED9F34478DDC}"/>
            </a:ext>
          </a:extLst>
        </xdr:cNvPr>
        <xdr:cNvSpPr/>
      </xdr:nvSpPr>
      <xdr:spPr>
        <a:xfrm>
          <a:off x="5505449" y="1145925"/>
          <a:ext cx="2448000" cy="1178176"/>
        </a:xfrm>
        <a:prstGeom prst="roundRect">
          <a:avLst>
            <a:gd name="adj" fmla="val 11906"/>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19050</xdr:colOff>
      <xdr:row>13</xdr:row>
      <xdr:rowOff>69600</xdr:rowOff>
    </xdr:from>
    <xdr:to>
      <xdr:col>10</xdr:col>
      <xdr:colOff>542926</xdr:colOff>
      <xdr:row>19</xdr:row>
      <xdr:rowOff>161926</xdr:rowOff>
    </xdr:to>
    <xdr:sp macro="" textlink="">
      <xdr:nvSpPr>
        <xdr:cNvPr id="18" name="Rectangle: Rounded Corners 17">
          <a:extLst>
            <a:ext uri="{FF2B5EF4-FFF2-40B4-BE49-F238E27FC236}">
              <a16:creationId xmlns:a16="http://schemas.microsoft.com/office/drawing/2014/main" id="{0A3B5D88-D916-487F-BCDD-47E6F040F05C}"/>
            </a:ext>
          </a:extLst>
        </xdr:cNvPr>
        <xdr:cNvSpPr/>
      </xdr:nvSpPr>
      <xdr:spPr>
        <a:xfrm>
          <a:off x="5505450" y="2422275"/>
          <a:ext cx="1133476" cy="1178176"/>
        </a:xfrm>
        <a:prstGeom prst="roundRect">
          <a:avLst>
            <a:gd name="adj" fmla="val 11906"/>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57150</xdr:colOff>
      <xdr:row>13</xdr:row>
      <xdr:rowOff>69600</xdr:rowOff>
    </xdr:from>
    <xdr:to>
      <xdr:col>12</xdr:col>
      <xdr:colOff>581026</xdr:colOff>
      <xdr:row>19</xdr:row>
      <xdr:rowOff>161926</xdr:rowOff>
    </xdr:to>
    <xdr:sp macro="" textlink="">
      <xdr:nvSpPr>
        <xdr:cNvPr id="20" name="Rectangle: Rounded Corners 19">
          <a:extLst>
            <a:ext uri="{FF2B5EF4-FFF2-40B4-BE49-F238E27FC236}">
              <a16:creationId xmlns:a16="http://schemas.microsoft.com/office/drawing/2014/main" id="{85ED8137-FAAE-45EB-8C2F-31DBD268570A}"/>
            </a:ext>
          </a:extLst>
        </xdr:cNvPr>
        <xdr:cNvSpPr/>
      </xdr:nvSpPr>
      <xdr:spPr>
        <a:xfrm>
          <a:off x="6762750" y="2422275"/>
          <a:ext cx="1133476" cy="1178176"/>
        </a:xfrm>
        <a:prstGeom prst="roundRect">
          <a:avLst>
            <a:gd name="adj" fmla="val 11906"/>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409574</xdr:colOff>
      <xdr:row>27</xdr:row>
      <xdr:rowOff>85725</xdr:rowOff>
    </xdr:from>
    <xdr:to>
      <xdr:col>19</xdr:col>
      <xdr:colOff>399660</xdr:colOff>
      <xdr:row>33</xdr:row>
      <xdr:rowOff>104549</xdr:rowOff>
    </xdr:to>
    <xdr:sp macro="" textlink="">
      <xdr:nvSpPr>
        <xdr:cNvPr id="21" name="Rectangle: Rounded Corners 20">
          <a:extLst>
            <a:ext uri="{FF2B5EF4-FFF2-40B4-BE49-F238E27FC236}">
              <a16:creationId xmlns:a16="http://schemas.microsoft.com/office/drawing/2014/main" id="{F01542F0-D744-4F19-B104-95407F5D0DA4}"/>
            </a:ext>
          </a:extLst>
        </xdr:cNvPr>
        <xdr:cNvSpPr/>
      </xdr:nvSpPr>
      <xdr:spPr>
        <a:xfrm>
          <a:off x="10772774" y="4972050"/>
          <a:ext cx="1209286" cy="1104674"/>
        </a:xfrm>
        <a:prstGeom prst="roundRect">
          <a:avLst>
            <a:gd name="adj" fmla="val 11906"/>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9914</xdr:colOff>
      <xdr:row>27</xdr:row>
      <xdr:rowOff>76199</xdr:rowOff>
    </xdr:from>
    <xdr:to>
      <xdr:col>22</xdr:col>
      <xdr:colOff>0</xdr:colOff>
      <xdr:row>33</xdr:row>
      <xdr:rowOff>104548</xdr:rowOff>
    </xdr:to>
    <xdr:sp macro="" textlink="">
      <xdr:nvSpPr>
        <xdr:cNvPr id="22" name="Rectangle: Rounded Corners 21">
          <a:extLst>
            <a:ext uri="{FF2B5EF4-FFF2-40B4-BE49-F238E27FC236}">
              <a16:creationId xmlns:a16="http://schemas.microsoft.com/office/drawing/2014/main" id="{E63077E9-FE00-4D53-AAAD-07946A789B30}"/>
            </a:ext>
          </a:extLst>
        </xdr:cNvPr>
        <xdr:cNvSpPr/>
      </xdr:nvSpPr>
      <xdr:spPr>
        <a:xfrm>
          <a:off x="12201914" y="4962524"/>
          <a:ext cx="1209286" cy="1114199"/>
        </a:xfrm>
        <a:prstGeom prst="roundRect">
          <a:avLst>
            <a:gd name="adj" fmla="val 11906"/>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9914</xdr:colOff>
      <xdr:row>21</xdr:row>
      <xdr:rowOff>123825</xdr:rowOff>
    </xdr:from>
    <xdr:to>
      <xdr:col>22</xdr:col>
      <xdr:colOff>0</xdr:colOff>
      <xdr:row>26</xdr:row>
      <xdr:rowOff>97778</xdr:rowOff>
    </xdr:to>
    <xdr:sp macro="" textlink="">
      <xdr:nvSpPr>
        <xdr:cNvPr id="24" name="Rectangle: Rounded Corners 23">
          <a:extLst>
            <a:ext uri="{FF2B5EF4-FFF2-40B4-BE49-F238E27FC236}">
              <a16:creationId xmlns:a16="http://schemas.microsoft.com/office/drawing/2014/main" id="{419E4614-E978-4205-8F65-A67E3A8CB10A}"/>
            </a:ext>
          </a:extLst>
        </xdr:cNvPr>
        <xdr:cNvSpPr/>
      </xdr:nvSpPr>
      <xdr:spPr>
        <a:xfrm>
          <a:off x="12201914" y="3924300"/>
          <a:ext cx="1209286" cy="878828"/>
        </a:xfrm>
        <a:prstGeom prst="roundRect">
          <a:avLst>
            <a:gd name="adj" fmla="val 11906"/>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400048</xdr:colOff>
      <xdr:row>10</xdr:row>
      <xdr:rowOff>59081</xdr:rowOff>
    </xdr:from>
    <xdr:to>
      <xdr:col>22</xdr:col>
      <xdr:colOff>19049</xdr:colOff>
      <xdr:row>19</xdr:row>
      <xdr:rowOff>86306</xdr:rowOff>
    </xdr:to>
    <xdr:sp macro="" textlink="">
      <xdr:nvSpPr>
        <xdr:cNvPr id="26" name="Rectangle: Rounded Corners 25">
          <a:extLst>
            <a:ext uri="{FF2B5EF4-FFF2-40B4-BE49-F238E27FC236}">
              <a16:creationId xmlns:a16="http://schemas.microsoft.com/office/drawing/2014/main" id="{9957E48B-B8BE-418D-B336-4F17A8702D6A}"/>
            </a:ext>
          </a:extLst>
        </xdr:cNvPr>
        <xdr:cNvSpPr/>
      </xdr:nvSpPr>
      <xdr:spPr>
        <a:xfrm>
          <a:off x="10763248" y="1868831"/>
          <a:ext cx="2667001" cy="1656000"/>
        </a:xfrm>
        <a:prstGeom prst="roundRect">
          <a:avLst>
            <a:gd name="adj" fmla="val 11906"/>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409573</xdr:colOff>
      <xdr:row>0</xdr:row>
      <xdr:rowOff>161925</xdr:rowOff>
    </xdr:from>
    <xdr:to>
      <xdr:col>22</xdr:col>
      <xdr:colOff>28574</xdr:colOff>
      <xdr:row>9</xdr:row>
      <xdr:rowOff>85725</xdr:rowOff>
    </xdr:to>
    <xdr:sp macro="" textlink="">
      <xdr:nvSpPr>
        <xdr:cNvPr id="27" name="Rectangle: Rounded Corners 26">
          <a:extLst>
            <a:ext uri="{FF2B5EF4-FFF2-40B4-BE49-F238E27FC236}">
              <a16:creationId xmlns:a16="http://schemas.microsoft.com/office/drawing/2014/main" id="{EDAC7B3D-E85E-46C3-85B0-1E167B3FC348}"/>
            </a:ext>
          </a:extLst>
        </xdr:cNvPr>
        <xdr:cNvSpPr/>
      </xdr:nvSpPr>
      <xdr:spPr>
        <a:xfrm>
          <a:off x="10772773" y="161925"/>
          <a:ext cx="2667001" cy="1552575"/>
        </a:xfrm>
        <a:prstGeom prst="roundRect">
          <a:avLst>
            <a:gd name="adj" fmla="val 11906"/>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133350</xdr:colOff>
      <xdr:row>21</xdr:row>
      <xdr:rowOff>114299</xdr:rowOff>
    </xdr:from>
    <xdr:to>
      <xdr:col>21</xdr:col>
      <xdr:colOff>381000</xdr:colOff>
      <xdr:row>24</xdr:row>
      <xdr:rowOff>9525</xdr:rowOff>
    </xdr:to>
    <xdr:sp macro="" textlink="">
      <xdr:nvSpPr>
        <xdr:cNvPr id="29" name="TextBox 28">
          <a:extLst>
            <a:ext uri="{FF2B5EF4-FFF2-40B4-BE49-F238E27FC236}">
              <a16:creationId xmlns:a16="http://schemas.microsoft.com/office/drawing/2014/main" id="{4873761F-7143-4315-8F63-EA89EA109164}"/>
            </a:ext>
          </a:extLst>
        </xdr:cNvPr>
        <xdr:cNvSpPr txBox="1"/>
      </xdr:nvSpPr>
      <xdr:spPr>
        <a:xfrm>
          <a:off x="12325350" y="3914774"/>
          <a:ext cx="857250" cy="438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solidFill>
              <a:latin typeface="Kulim Park"/>
              <a:ea typeface="+mn-ea"/>
              <a:cs typeface="+mn-cs"/>
            </a:rPr>
            <a:t>Part time Employees</a:t>
          </a:r>
        </a:p>
      </xdr:txBody>
    </xdr:sp>
    <xdr:clientData/>
  </xdr:twoCellAnchor>
  <xdr:twoCellAnchor>
    <xdr:from>
      <xdr:col>20</xdr:col>
      <xdr:colOff>342900</xdr:colOff>
      <xdr:row>23</xdr:row>
      <xdr:rowOff>95249</xdr:rowOff>
    </xdr:from>
    <xdr:to>
      <xdr:col>21</xdr:col>
      <xdr:colOff>400050</xdr:colOff>
      <xdr:row>26</xdr:row>
      <xdr:rowOff>76199</xdr:rowOff>
    </xdr:to>
    <xdr:sp macro="" textlink="PivoteTable!C12">
      <xdr:nvSpPr>
        <xdr:cNvPr id="3073" name="Text Box 1">
          <a:extLst>
            <a:ext uri="{FF2B5EF4-FFF2-40B4-BE49-F238E27FC236}">
              <a16:creationId xmlns:a16="http://schemas.microsoft.com/office/drawing/2014/main" id="{90C16C32-3768-4A07-AA5D-7CC62C1720F6}"/>
            </a:ext>
          </a:extLst>
        </xdr:cNvPr>
        <xdr:cNvSpPr txBox="1">
          <a:spLocks noChangeArrowheads="1"/>
        </xdr:cNvSpPr>
      </xdr:nvSpPr>
      <xdr:spPr bwMode="auto">
        <a:xfrm>
          <a:off x="12534900" y="4257674"/>
          <a:ext cx="666750" cy="523875"/>
        </a:xfrm>
        <a:prstGeom prst="rect">
          <a:avLst/>
        </a:prstGeom>
        <a:noFill/>
        <a:ln w="9525">
          <a:noFill/>
          <a:miter lim="800000"/>
          <a:headEnd/>
          <a:tailEnd/>
        </a:ln>
      </xdr:spPr>
      <xdr:txBody>
        <a:bodyPr vertOverflow="clip" wrap="square" lIns="27432" tIns="27432" rIns="0" bIns="0" anchor="t" upright="1"/>
        <a:lstStyle/>
        <a:p>
          <a:pPr algn="l" rtl="0">
            <a:defRPr sz="1000"/>
          </a:pPr>
          <a:fld id="{49FA372C-796E-4180-8829-C01288D9AE05}" type="TxLink">
            <a:rPr lang="en-US" sz="3200" b="0" i="0" u="none" strike="noStrike" baseline="0">
              <a:solidFill>
                <a:schemeClr val="bg1"/>
              </a:solidFill>
              <a:latin typeface="Calibri"/>
              <a:ea typeface="Calibri"/>
              <a:cs typeface="Calibri"/>
            </a:rPr>
            <a:pPr algn="l" rtl="0">
              <a:defRPr sz="1000"/>
            </a:pPr>
            <a:t>13</a:t>
          </a:fld>
          <a:endParaRPr lang="en-US" sz="3200" b="0" i="0" u="none" strike="noStrike" baseline="0">
            <a:solidFill>
              <a:schemeClr val="bg1"/>
            </a:solidFill>
            <a:latin typeface="Calibri"/>
            <a:ea typeface="Calibri"/>
            <a:cs typeface="Calibri"/>
          </a:endParaRPr>
        </a:p>
      </xdr:txBody>
    </xdr:sp>
    <xdr:clientData/>
  </xdr:twoCellAnchor>
  <xdr:twoCellAnchor>
    <xdr:from>
      <xdr:col>20</xdr:col>
      <xdr:colOff>390525</xdr:colOff>
      <xdr:row>30</xdr:row>
      <xdr:rowOff>9524</xdr:rowOff>
    </xdr:from>
    <xdr:to>
      <xdr:col>21</xdr:col>
      <xdr:colOff>447675</xdr:colOff>
      <xdr:row>32</xdr:row>
      <xdr:rowOff>171449</xdr:rowOff>
    </xdr:to>
    <xdr:sp macro="" textlink="PivoteTable!C11">
      <xdr:nvSpPr>
        <xdr:cNvPr id="32" name="Text Box 1">
          <a:extLst>
            <a:ext uri="{FF2B5EF4-FFF2-40B4-BE49-F238E27FC236}">
              <a16:creationId xmlns:a16="http://schemas.microsoft.com/office/drawing/2014/main" id="{EEC842AD-AEDA-4278-B265-E58AE532C1F9}"/>
            </a:ext>
          </a:extLst>
        </xdr:cNvPr>
        <xdr:cNvSpPr txBox="1">
          <a:spLocks noChangeArrowheads="1"/>
        </xdr:cNvSpPr>
      </xdr:nvSpPr>
      <xdr:spPr bwMode="auto">
        <a:xfrm>
          <a:off x="12582525" y="5438774"/>
          <a:ext cx="666750" cy="523875"/>
        </a:xfrm>
        <a:prstGeom prst="rect">
          <a:avLst/>
        </a:prstGeom>
        <a:noFill/>
        <a:ln w="9525">
          <a:noFill/>
          <a:miter lim="800000"/>
          <a:headEnd/>
          <a:tailEnd/>
        </a:ln>
      </xdr:spPr>
      <xdr:txBody>
        <a:bodyPr vertOverflow="clip" wrap="square" lIns="27432" tIns="27432" rIns="0" bIns="0" anchor="t" upright="1"/>
        <a:lstStyle/>
        <a:p>
          <a:pPr marL="0" indent="0" algn="l" rtl="0">
            <a:defRPr sz="1000"/>
          </a:pPr>
          <a:fld id="{E85BC54C-679C-45DE-AB7A-FCEDF98AA54C}" type="TxLink">
            <a:rPr lang="en-US" sz="3200" b="0" i="0" u="none" strike="noStrike" baseline="0">
              <a:solidFill>
                <a:schemeClr val="bg1"/>
              </a:solidFill>
              <a:latin typeface="Calibri"/>
              <a:ea typeface="Calibri"/>
              <a:cs typeface="Calibri"/>
            </a:rPr>
            <a:pPr marL="0" indent="0" algn="l" rtl="0">
              <a:defRPr sz="1000"/>
            </a:pPr>
            <a:t>20</a:t>
          </a:fld>
          <a:endParaRPr lang="en-US" sz="3200" b="0" i="0" u="none" strike="noStrike" baseline="0">
            <a:solidFill>
              <a:schemeClr val="bg1"/>
            </a:solidFill>
            <a:latin typeface="Calibri"/>
            <a:ea typeface="Calibri"/>
            <a:cs typeface="Calibri"/>
          </a:endParaRPr>
        </a:p>
      </xdr:txBody>
    </xdr:sp>
    <xdr:clientData/>
  </xdr:twoCellAnchor>
  <xdr:twoCellAnchor>
    <xdr:from>
      <xdr:col>17</xdr:col>
      <xdr:colOff>495300</xdr:colOff>
      <xdr:row>27</xdr:row>
      <xdr:rowOff>142875</xdr:rowOff>
    </xdr:from>
    <xdr:to>
      <xdr:col>19</xdr:col>
      <xdr:colOff>352425</xdr:colOff>
      <xdr:row>30</xdr:row>
      <xdr:rowOff>133350</xdr:rowOff>
    </xdr:to>
    <xdr:sp macro="" textlink="">
      <xdr:nvSpPr>
        <xdr:cNvPr id="33" name="TextBox 32">
          <a:extLst>
            <a:ext uri="{FF2B5EF4-FFF2-40B4-BE49-F238E27FC236}">
              <a16:creationId xmlns:a16="http://schemas.microsoft.com/office/drawing/2014/main" id="{AD8B1B7B-D638-4FB5-AEE6-22C15F2148E1}"/>
            </a:ext>
          </a:extLst>
        </xdr:cNvPr>
        <xdr:cNvSpPr txBox="1"/>
      </xdr:nvSpPr>
      <xdr:spPr>
        <a:xfrm>
          <a:off x="10858500" y="5029200"/>
          <a:ext cx="107632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Kulim Park"/>
            </a:rPr>
            <a:t>Employees</a:t>
          </a:r>
          <a:r>
            <a:rPr lang="en-US" sz="1100" baseline="0">
              <a:solidFill>
                <a:schemeClr val="bg1"/>
              </a:solidFill>
              <a:latin typeface="Kulim Park"/>
            </a:rPr>
            <a:t> with contracts</a:t>
          </a:r>
          <a:endParaRPr lang="en-US" sz="1100">
            <a:solidFill>
              <a:schemeClr val="bg1"/>
            </a:solidFill>
            <a:latin typeface="Kulim Park"/>
          </a:endParaRPr>
        </a:p>
      </xdr:txBody>
    </xdr:sp>
    <xdr:clientData/>
  </xdr:twoCellAnchor>
  <xdr:twoCellAnchor>
    <xdr:from>
      <xdr:col>18</xdr:col>
      <xdr:colOff>200025</xdr:colOff>
      <xdr:row>30</xdr:row>
      <xdr:rowOff>85724</xdr:rowOff>
    </xdr:from>
    <xdr:to>
      <xdr:col>19</xdr:col>
      <xdr:colOff>257175</xdr:colOff>
      <xdr:row>33</xdr:row>
      <xdr:rowOff>66674</xdr:rowOff>
    </xdr:to>
    <xdr:sp macro="" textlink="PivoteTable!C13">
      <xdr:nvSpPr>
        <xdr:cNvPr id="34" name="Text Box 1">
          <a:extLst>
            <a:ext uri="{FF2B5EF4-FFF2-40B4-BE49-F238E27FC236}">
              <a16:creationId xmlns:a16="http://schemas.microsoft.com/office/drawing/2014/main" id="{CBC2A867-C594-4593-9698-389820DED60E}"/>
            </a:ext>
          </a:extLst>
        </xdr:cNvPr>
        <xdr:cNvSpPr txBox="1">
          <a:spLocks noChangeArrowheads="1"/>
        </xdr:cNvSpPr>
      </xdr:nvSpPr>
      <xdr:spPr bwMode="auto">
        <a:xfrm>
          <a:off x="11172825" y="5514974"/>
          <a:ext cx="666750" cy="523875"/>
        </a:xfrm>
        <a:prstGeom prst="rect">
          <a:avLst/>
        </a:prstGeom>
        <a:noFill/>
        <a:ln w="9525">
          <a:noFill/>
          <a:miter lim="800000"/>
          <a:headEnd/>
          <a:tailEnd/>
        </a:ln>
      </xdr:spPr>
      <xdr:txBody>
        <a:bodyPr vertOverflow="clip" wrap="square" lIns="27432" tIns="27432" rIns="0" bIns="0" anchor="t" upright="1"/>
        <a:lstStyle/>
        <a:p>
          <a:pPr marL="0" indent="0" algn="l" rtl="0">
            <a:defRPr sz="1000"/>
          </a:pPr>
          <a:fld id="{FE1AC81E-9E25-4931-95C0-15053A238727}" type="TxLink">
            <a:rPr lang="en-US" sz="3200" b="0" i="0" u="none" strike="noStrike" baseline="0">
              <a:solidFill>
                <a:schemeClr val="bg1"/>
              </a:solidFill>
              <a:latin typeface="Calibri"/>
              <a:ea typeface="Calibri"/>
              <a:cs typeface="Calibri"/>
            </a:rPr>
            <a:pPr marL="0" indent="0" algn="l" rtl="0">
              <a:defRPr sz="1000"/>
            </a:pPr>
            <a:t>17</a:t>
          </a:fld>
          <a:endParaRPr lang="en-US" sz="3200" b="0" i="0" u="none" strike="noStrike" baseline="0">
            <a:solidFill>
              <a:schemeClr val="bg1"/>
            </a:solidFill>
            <a:latin typeface="Calibri"/>
            <a:ea typeface="Calibri"/>
            <a:cs typeface="Calibri"/>
          </a:endParaRPr>
        </a:p>
      </xdr:txBody>
    </xdr:sp>
    <xdr:clientData/>
  </xdr:twoCellAnchor>
  <xdr:twoCellAnchor>
    <xdr:from>
      <xdr:col>20</xdr:col>
      <xdr:colOff>190500</xdr:colOff>
      <xdr:row>27</xdr:row>
      <xdr:rowOff>161924</xdr:rowOff>
    </xdr:from>
    <xdr:to>
      <xdr:col>21</xdr:col>
      <xdr:colOff>542925</xdr:colOff>
      <xdr:row>30</xdr:row>
      <xdr:rowOff>161924</xdr:rowOff>
    </xdr:to>
    <xdr:sp macro="" textlink="">
      <xdr:nvSpPr>
        <xdr:cNvPr id="35" name="TextBox 34">
          <a:extLst>
            <a:ext uri="{FF2B5EF4-FFF2-40B4-BE49-F238E27FC236}">
              <a16:creationId xmlns:a16="http://schemas.microsoft.com/office/drawing/2014/main" id="{86088996-4E2C-428B-9460-35E3DCED1171}"/>
            </a:ext>
          </a:extLst>
        </xdr:cNvPr>
        <xdr:cNvSpPr txBox="1"/>
      </xdr:nvSpPr>
      <xdr:spPr>
        <a:xfrm>
          <a:off x="12382500" y="5048249"/>
          <a:ext cx="9620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Kulim Park"/>
            </a:rPr>
            <a:t>Full</a:t>
          </a:r>
          <a:r>
            <a:rPr lang="en-US" sz="1100" baseline="0">
              <a:solidFill>
                <a:schemeClr val="bg1"/>
              </a:solidFill>
              <a:latin typeface="Kulim Park"/>
            </a:rPr>
            <a:t> time employees</a:t>
          </a:r>
        </a:p>
        <a:p>
          <a:endParaRPr lang="en-US" sz="1100">
            <a:solidFill>
              <a:schemeClr val="bg1"/>
            </a:solidFill>
            <a:latin typeface="Kulim Park"/>
          </a:endParaRPr>
        </a:p>
      </xdr:txBody>
    </xdr:sp>
    <xdr:clientData/>
  </xdr:twoCellAnchor>
  <xdr:twoCellAnchor>
    <xdr:from>
      <xdr:col>13</xdr:col>
      <xdr:colOff>283700</xdr:colOff>
      <xdr:row>24</xdr:row>
      <xdr:rowOff>120649</xdr:rowOff>
    </xdr:from>
    <xdr:to>
      <xdr:col>15</xdr:col>
      <xdr:colOff>171450</xdr:colOff>
      <xdr:row>26</xdr:row>
      <xdr:rowOff>73024</xdr:rowOff>
    </xdr:to>
    <xdr:sp macro="" textlink="">
      <xdr:nvSpPr>
        <xdr:cNvPr id="37" name="TextBox 36">
          <a:extLst>
            <a:ext uri="{FF2B5EF4-FFF2-40B4-BE49-F238E27FC236}">
              <a16:creationId xmlns:a16="http://schemas.microsoft.com/office/drawing/2014/main" id="{587401E8-854F-4BBC-A45C-80C227AD1B94}"/>
            </a:ext>
          </a:extLst>
        </xdr:cNvPr>
        <xdr:cNvSpPr txBox="1"/>
      </xdr:nvSpPr>
      <xdr:spPr>
        <a:xfrm>
          <a:off x="8208500" y="4464049"/>
          <a:ext cx="1106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a:solidFill>
                <a:schemeClr val="bg1"/>
              </a:solidFill>
              <a:latin typeface="Kulim Park"/>
              <a:ea typeface="+mn-ea"/>
              <a:cs typeface="+mn-cs"/>
            </a:rPr>
            <a:t>Managers</a:t>
          </a:r>
        </a:p>
      </xdr:txBody>
    </xdr:sp>
    <xdr:clientData/>
  </xdr:twoCellAnchor>
  <xdr:twoCellAnchor>
    <xdr:from>
      <xdr:col>13</xdr:col>
      <xdr:colOff>273938</xdr:colOff>
      <xdr:row>22</xdr:row>
      <xdr:rowOff>171449</xdr:rowOff>
    </xdr:from>
    <xdr:to>
      <xdr:col>15</xdr:col>
      <xdr:colOff>289413</xdr:colOff>
      <xdr:row>24</xdr:row>
      <xdr:rowOff>123824</xdr:rowOff>
    </xdr:to>
    <xdr:sp macro="" textlink="">
      <xdr:nvSpPr>
        <xdr:cNvPr id="36" name="TextBox 35">
          <a:extLst>
            <a:ext uri="{FF2B5EF4-FFF2-40B4-BE49-F238E27FC236}">
              <a16:creationId xmlns:a16="http://schemas.microsoft.com/office/drawing/2014/main" id="{C2E71F4A-3E72-4C55-8C23-98BEA0AAAF07}"/>
            </a:ext>
          </a:extLst>
        </xdr:cNvPr>
        <xdr:cNvSpPr txBox="1"/>
      </xdr:nvSpPr>
      <xdr:spPr>
        <a:xfrm>
          <a:off x="8198738" y="4152899"/>
          <a:ext cx="12346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chemeClr val="bg1"/>
              </a:solidFill>
              <a:latin typeface="Kulim Park"/>
              <a:ea typeface="+mn-ea"/>
              <a:cs typeface="+mn-cs"/>
            </a:rPr>
            <a:t>Total Salaries</a:t>
          </a:r>
        </a:p>
      </xdr:txBody>
    </xdr:sp>
    <xdr:clientData/>
  </xdr:twoCellAnchor>
  <xdr:twoCellAnchor>
    <xdr:from>
      <xdr:col>13</xdr:col>
      <xdr:colOff>293225</xdr:colOff>
      <xdr:row>26</xdr:row>
      <xdr:rowOff>60324</xdr:rowOff>
    </xdr:from>
    <xdr:to>
      <xdr:col>15</xdr:col>
      <xdr:colOff>180975</xdr:colOff>
      <xdr:row>27</xdr:row>
      <xdr:rowOff>149224</xdr:rowOff>
    </xdr:to>
    <xdr:sp macro="" textlink="">
      <xdr:nvSpPr>
        <xdr:cNvPr id="38" name="TextBox 37">
          <a:extLst>
            <a:ext uri="{FF2B5EF4-FFF2-40B4-BE49-F238E27FC236}">
              <a16:creationId xmlns:a16="http://schemas.microsoft.com/office/drawing/2014/main" id="{AFCA3F07-3D2D-4483-86CE-8311CC0B2210}"/>
            </a:ext>
          </a:extLst>
        </xdr:cNvPr>
        <xdr:cNvSpPr txBox="1"/>
      </xdr:nvSpPr>
      <xdr:spPr>
        <a:xfrm>
          <a:off x="8218025" y="4765674"/>
          <a:ext cx="1106950"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a:solidFill>
                <a:schemeClr val="bg1"/>
              </a:solidFill>
              <a:latin typeface="Kulim Park"/>
              <a:ea typeface="+mn-ea"/>
              <a:cs typeface="+mn-cs"/>
            </a:rPr>
            <a:t>HR</a:t>
          </a:r>
          <a:r>
            <a:rPr lang="en-US" sz="1200" b="0" baseline="0">
              <a:solidFill>
                <a:schemeClr val="bg1"/>
              </a:solidFill>
              <a:latin typeface="Kulim Park"/>
              <a:ea typeface="+mn-ea"/>
              <a:cs typeface="+mn-cs"/>
            </a:rPr>
            <a:t> Specialists</a:t>
          </a:r>
          <a:endParaRPr lang="en-US" sz="1200" b="0">
            <a:solidFill>
              <a:schemeClr val="bg1"/>
            </a:solidFill>
            <a:latin typeface="Kulim Park"/>
            <a:ea typeface="+mn-ea"/>
            <a:cs typeface="+mn-cs"/>
          </a:endParaRPr>
        </a:p>
      </xdr:txBody>
    </xdr:sp>
    <xdr:clientData/>
  </xdr:twoCellAnchor>
  <xdr:twoCellAnchor>
    <xdr:from>
      <xdr:col>13</xdr:col>
      <xdr:colOff>274387</xdr:colOff>
      <xdr:row>28</xdr:row>
      <xdr:rowOff>69849</xdr:rowOff>
    </xdr:from>
    <xdr:to>
      <xdr:col>15</xdr:col>
      <xdr:colOff>47625</xdr:colOff>
      <xdr:row>30</xdr:row>
      <xdr:rowOff>12699</xdr:rowOff>
    </xdr:to>
    <xdr:sp macro="" textlink="">
      <xdr:nvSpPr>
        <xdr:cNvPr id="39" name="TextBox 38">
          <a:extLst>
            <a:ext uri="{FF2B5EF4-FFF2-40B4-BE49-F238E27FC236}">
              <a16:creationId xmlns:a16="http://schemas.microsoft.com/office/drawing/2014/main" id="{16C187BF-A3EE-4A9A-8B05-C216440A23EA}"/>
            </a:ext>
          </a:extLst>
        </xdr:cNvPr>
        <xdr:cNvSpPr txBox="1"/>
      </xdr:nvSpPr>
      <xdr:spPr>
        <a:xfrm>
          <a:off x="8199187" y="5137149"/>
          <a:ext cx="9924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a:solidFill>
                <a:schemeClr val="bg1"/>
              </a:solidFill>
              <a:latin typeface="Kulim Park"/>
              <a:ea typeface="+mn-ea"/>
              <a:cs typeface="+mn-cs"/>
            </a:rPr>
            <a:t>Developers</a:t>
          </a:r>
        </a:p>
      </xdr:txBody>
    </xdr:sp>
    <xdr:clientData/>
  </xdr:twoCellAnchor>
  <xdr:twoCellAnchor>
    <xdr:from>
      <xdr:col>13</xdr:col>
      <xdr:colOff>303192</xdr:colOff>
      <xdr:row>31</xdr:row>
      <xdr:rowOff>123825</xdr:rowOff>
    </xdr:from>
    <xdr:to>
      <xdr:col>14</xdr:col>
      <xdr:colOff>561975</xdr:colOff>
      <xdr:row>33</xdr:row>
      <xdr:rowOff>66675</xdr:rowOff>
    </xdr:to>
    <xdr:sp macro="" textlink="">
      <xdr:nvSpPr>
        <xdr:cNvPr id="40" name="TextBox 39">
          <a:extLst>
            <a:ext uri="{FF2B5EF4-FFF2-40B4-BE49-F238E27FC236}">
              <a16:creationId xmlns:a16="http://schemas.microsoft.com/office/drawing/2014/main" id="{83529C71-E98A-469D-AB09-D03140413E23}"/>
            </a:ext>
          </a:extLst>
        </xdr:cNvPr>
        <xdr:cNvSpPr txBox="1"/>
      </xdr:nvSpPr>
      <xdr:spPr>
        <a:xfrm>
          <a:off x="8227992" y="5734050"/>
          <a:ext cx="868383"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chemeClr val="bg1"/>
              </a:solidFill>
              <a:effectLst/>
              <a:latin typeface="+mn-lt"/>
              <a:ea typeface="+mn-ea"/>
              <a:cs typeface="+mn-cs"/>
            </a:rPr>
            <a:t>Designer</a:t>
          </a:r>
          <a:r>
            <a:rPr lang="en-US" sz="1400">
              <a:solidFill>
                <a:schemeClr val="bg1"/>
              </a:solidFill>
            </a:rPr>
            <a:t> </a:t>
          </a:r>
          <a:endParaRPr lang="en-US" sz="1400" b="0">
            <a:solidFill>
              <a:schemeClr val="bg1"/>
            </a:solidFill>
            <a:latin typeface="Kulim Park"/>
            <a:ea typeface="+mn-ea"/>
            <a:cs typeface="+mn-cs"/>
          </a:endParaRPr>
        </a:p>
      </xdr:txBody>
    </xdr:sp>
    <xdr:clientData/>
  </xdr:twoCellAnchor>
  <xdr:twoCellAnchor>
    <xdr:from>
      <xdr:col>15</xdr:col>
      <xdr:colOff>180975</xdr:colOff>
      <xdr:row>25</xdr:row>
      <xdr:rowOff>2381</xdr:rowOff>
    </xdr:from>
    <xdr:to>
      <xdr:col>17</xdr:col>
      <xdr:colOff>41775</xdr:colOff>
      <xdr:row>26</xdr:row>
      <xdr:rowOff>73406</xdr:rowOff>
    </xdr:to>
    <xdr:sp macro="" textlink="">
      <xdr:nvSpPr>
        <xdr:cNvPr id="50" name="Rectangle: Rounded Corners 49">
          <a:extLst>
            <a:ext uri="{FF2B5EF4-FFF2-40B4-BE49-F238E27FC236}">
              <a16:creationId xmlns:a16="http://schemas.microsoft.com/office/drawing/2014/main" id="{23D0E470-210F-45D3-8726-B8971C3A7696}"/>
            </a:ext>
          </a:extLst>
        </xdr:cNvPr>
        <xdr:cNvSpPr/>
      </xdr:nvSpPr>
      <xdr:spPr>
        <a:xfrm>
          <a:off x="9324975" y="4526756"/>
          <a:ext cx="1080000" cy="252000"/>
        </a:xfrm>
        <a:prstGeom prst="roundRect">
          <a:avLst>
            <a:gd name="adj" fmla="val 20947"/>
          </a:avLst>
        </a:prstGeom>
        <a:solidFill>
          <a:srgbClr val="1F1F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rgbClr val="1F1F1F"/>
              </a:solidFill>
            </a:ln>
          </a:endParaRPr>
        </a:p>
      </xdr:txBody>
    </xdr:sp>
    <xdr:clientData/>
  </xdr:twoCellAnchor>
  <xdr:twoCellAnchor>
    <xdr:from>
      <xdr:col>15</xdr:col>
      <xdr:colOff>180975</xdr:colOff>
      <xdr:row>26</xdr:row>
      <xdr:rowOff>119062</xdr:rowOff>
    </xdr:from>
    <xdr:to>
      <xdr:col>16</xdr:col>
      <xdr:colOff>575175</xdr:colOff>
      <xdr:row>28</xdr:row>
      <xdr:rowOff>9112</xdr:rowOff>
    </xdr:to>
    <xdr:sp macro="" textlink="">
      <xdr:nvSpPr>
        <xdr:cNvPr id="51" name="Rectangle: Rounded Corners 50">
          <a:extLst>
            <a:ext uri="{FF2B5EF4-FFF2-40B4-BE49-F238E27FC236}">
              <a16:creationId xmlns:a16="http://schemas.microsoft.com/office/drawing/2014/main" id="{425D13CE-4E04-4E18-9159-E7DA74DC21C1}"/>
            </a:ext>
          </a:extLst>
        </xdr:cNvPr>
        <xdr:cNvSpPr/>
      </xdr:nvSpPr>
      <xdr:spPr>
        <a:xfrm>
          <a:off x="9324975" y="4824412"/>
          <a:ext cx="1003800" cy="252000"/>
        </a:xfrm>
        <a:prstGeom prst="roundRect">
          <a:avLst>
            <a:gd name="adj" fmla="val 17167"/>
          </a:avLst>
        </a:prstGeom>
        <a:solidFill>
          <a:srgbClr val="1F1F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rgbClr val="1F1F1F"/>
              </a:solidFill>
            </a:ln>
          </a:endParaRPr>
        </a:p>
      </xdr:txBody>
    </xdr:sp>
    <xdr:clientData/>
  </xdr:twoCellAnchor>
  <xdr:twoCellAnchor>
    <xdr:from>
      <xdr:col>15</xdr:col>
      <xdr:colOff>159921</xdr:colOff>
      <xdr:row>23</xdr:row>
      <xdr:rowOff>38100</xdr:rowOff>
    </xdr:from>
    <xdr:to>
      <xdr:col>17</xdr:col>
      <xdr:colOff>22725</xdr:colOff>
      <xdr:row>24</xdr:row>
      <xdr:rowOff>109125</xdr:rowOff>
    </xdr:to>
    <xdr:sp macro="" textlink="PivoteTable!F17">
      <xdr:nvSpPr>
        <xdr:cNvPr id="6" name="Rectangle: Rounded Corners 5">
          <a:extLst>
            <a:ext uri="{FF2B5EF4-FFF2-40B4-BE49-F238E27FC236}">
              <a16:creationId xmlns:a16="http://schemas.microsoft.com/office/drawing/2014/main" id="{C0F77337-38BB-4AC0-8B87-7BED41ED3AA0}"/>
            </a:ext>
          </a:extLst>
        </xdr:cNvPr>
        <xdr:cNvSpPr/>
      </xdr:nvSpPr>
      <xdr:spPr>
        <a:xfrm>
          <a:off x="9303921" y="4200525"/>
          <a:ext cx="1082004" cy="252000"/>
        </a:xfrm>
        <a:prstGeom prst="roundRect">
          <a:avLst>
            <a:gd name="adj" fmla="val 20947"/>
          </a:avLst>
        </a:prstGeom>
        <a:solidFill>
          <a:srgbClr val="F2961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8207825-1FB4-4FCE-A9E9-BF6ECDA60D03}" type="TxLink">
            <a:rPr lang="en-US" sz="1400" b="0" i="0" u="none" strike="noStrike">
              <a:ln>
                <a:solidFill>
                  <a:srgbClr val="1F1F1F"/>
                </a:solidFill>
              </a:ln>
              <a:solidFill>
                <a:srgbClr val="000000"/>
              </a:solidFill>
              <a:latin typeface="Kulim Park"/>
            </a:rPr>
            <a:pPr algn="ctr"/>
            <a:t>3104913</a:t>
          </a:fld>
          <a:endParaRPr lang="en-US" sz="1400">
            <a:ln>
              <a:solidFill>
                <a:srgbClr val="1F1F1F"/>
              </a:solidFill>
            </a:ln>
          </a:endParaRPr>
        </a:p>
      </xdr:txBody>
    </xdr:sp>
    <xdr:clientData/>
  </xdr:twoCellAnchor>
  <xdr:twoCellAnchor>
    <xdr:from>
      <xdr:col>15</xdr:col>
      <xdr:colOff>180975</xdr:colOff>
      <xdr:row>30</xdr:row>
      <xdr:rowOff>76200</xdr:rowOff>
    </xdr:from>
    <xdr:to>
      <xdr:col>17</xdr:col>
      <xdr:colOff>41775</xdr:colOff>
      <xdr:row>31</xdr:row>
      <xdr:rowOff>147225</xdr:rowOff>
    </xdr:to>
    <xdr:sp macro="" textlink="">
      <xdr:nvSpPr>
        <xdr:cNvPr id="53" name="Rectangle: Rounded Corners 52">
          <a:extLst>
            <a:ext uri="{FF2B5EF4-FFF2-40B4-BE49-F238E27FC236}">
              <a16:creationId xmlns:a16="http://schemas.microsoft.com/office/drawing/2014/main" id="{352B1EC2-76B8-4D0B-886E-47DA11EADE88}"/>
            </a:ext>
          </a:extLst>
        </xdr:cNvPr>
        <xdr:cNvSpPr/>
      </xdr:nvSpPr>
      <xdr:spPr>
        <a:xfrm>
          <a:off x="9324975" y="5505450"/>
          <a:ext cx="1080000" cy="252000"/>
        </a:xfrm>
        <a:prstGeom prst="roundRect">
          <a:avLst>
            <a:gd name="adj" fmla="val 24727"/>
          </a:avLst>
        </a:prstGeom>
        <a:solidFill>
          <a:srgbClr val="1F1F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rgbClr val="1F1F1F"/>
              </a:solidFill>
            </a:ln>
          </a:endParaRPr>
        </a:p>
      </xdr:txBody>
    </xdr:sp>
    <xdr:clientData/>
  </xdr:twoCellAnchor>
  <xdr:twoCellAnchor>
    <xdr:from>
      <xdr:col>15</xdr:col>
      <xdr:colOff>200025</xdr:colOff>
      <xdr:row>28</xdr:row>
      <xdr:rowOff>92868</xdr:rowOff>
    </xdr:from>
    <xdr:to>
      <xdr:col>17</xdr:col>
      <xdr:colOff>60825</xdr:colOff>
      <xdr:row>29</xdr:row>
      <xdr:rowOff>163893</xdr:rowOff>
    </xdr:to>
    <xdr:sp macro="" textlink="">
      <xdr:nvSpPr>
        <xdr:cNvPr id="52" name="Rectangle: Rounded Corners 51">
          <a:extLst>
            <a:ext uri="{FF2B5EF4-FFF2-40B4-BE49-F238E27FC236}">
              <a16:creationId xmlns:a16="http://schemas.microsoft.com/office/drawing/2014/main" id="{B34A8D82-EDE8-4931-AF7B-FF827927DCB2}"/>
            </a:ext>
          </a:extLst>
        </xdr:cNvPr>
        <xdr:cNvSpPr/>
      </xdr:nvSpPr>
      <xdr:spPr>
        <a:xfrm>
          <a:off x="9344025" y="5160168"/>
          <a:ext cx="1080000" cy="252000"/>
        </a:xfrm>
        <a:prstGeom prst="roundRect">
          <a:avLst>
            <a:gd name="adj" fmla="val 24727"/>
          </a:avLst>
        </a:prstGeom>
        <a:solidFill>
          <a:srgbClr val="1F1F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rgbClr val="1F1F1F"/>
              </a:solidFill>
            </a:ln>
          </a:endParaRPr>
        </a:p>
      </xdr:txBody>
    </xdr:sp>
    <xdr:clientData/>
  </xdr:twoCellAnchor>
  <xdr:twoCellAnchor>
    <xdr:from>
      <xdr:col>15</xdr:col>
      <xdr:colOff>177361</xdr:colOff>
      <xdr:row>30</xdr:row>
      <xdr:rowOff>9525</xdr:rowOff>
    </xdr:from>
    <xdr:to>
      <xdr:col>16</xdr:col>
      <xdr:colOff>436144</xdr:colOff>
      <xdr:row>31</xdr:row>
      <xdr:rowOff>133350</xdr:rowOff>
    </xdr:to>
    <xdr:sp macro="" textlink="PivoteTable!F12">
      <xdr:nvSpPr>
        <xdr:cNvPr id="48" name="TextBox 47">
          <a:extLst>
            <a:ext uri="{FF2B5EF4-FFF2-40B4-BE49-F238E27FC236}">
              <a16:creationId xmlns:a16="http://schemas.microsoft.com/office/drawing/2014/main" id="{2CBBC5D6-E162-48E7-A49E-E7D7A0FFE8CA}"/>
            </a:ext>
          </a:extLst>
        </xdr:cNvPr>
        <xdr:cNvSpPr txBox="1"/>
      </xdr:nvSpPr>
      <xdr:spPr>
        <a:xfrm>
          <a:off x="9321361" y="5438775"/>
          <a:ext cx="868383"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78CF9DE-A2CA-4B2B-9952-97143DC6E8AC}" type="TxLink">
            <a:rPr lang="en-US" sz="1400" b="0" i="0" u="none" strike="noStrike">
              <a:solidFill>
                <a:schemeClr val="bg1"/>
              </a:solidFill>
              <a:latin typeface="Kulim Park"/>
              <a:ea typeface="Calibri"/>
              <a:cs typeface="Calibri"/>
            </a:rPr>
            <a:pPr marL="0" indent="0" algn="ctr"/>
            <a:t>167041</a:t>
          </a:fld>
          <a:endParaRPr lang="en-US" sz="1400">
            <a:solidFill>
              <a:schemeClr val="bg1"/>
            </a:solidFill>
            <a:latin typeface="Kulim Park"/>
            <a:ea typeface="+mn-ea"/>
            <a:cs typeface="+mn-cs"/>
          </a:endParaRPr>
        </a:p>
      </xdr:txBody>
    </xdr:sp>
    <xdr:clientData/>
  </xdr:twoCellAnchor>
  <xdr:twoCellAnchor>
    <xdr:from>
      <xdr:col>15</xdr:col>
      <xdr:colOff>228600</xdr:colOff>
      <xdr:row>24</xdr:row>
      <xdr:rowOff>28663</xdr:rowOff>
    </xdr:from>
    <xdr:to>
      <xdr:col>17</xdr:col>
      <xdr:colOff>1838</xdr:colOff>
      <xdr:row>25</xdr:row>
      <xdr:rowOff>162013</xdr:rowOff>
    </xdr:to>
    <xdr:sp macro="" textlink="Dashboard!$C$20">
      <xdr:nvSpPr>
        <xdr:cNvPr id="44" name="TextBox 43">
          <a:extLst>
            <a:ext uri="{FF2B5EF4-FFF2-40B4-BE49-F238E27FC236}">
              <a16:creationId xmlns:a16="http://schemas.microsoft.com/office/drawing/2014/main" id="{AF6F6285-16D3-43D3-8AEF-0F585B074A83}"/>
            </a:ext>
          </a:extLst>
        </xdr:cNvPr>
        <xdr:cNvSpPr txBox="1"/>
      </xdr:nvSpPr>
      <xdr:spPr>
        <a:xfrm>
          <a:off x="9372600" y="4372063"/>
          <a:ext cx="992438"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1CDAE3B-A219-4204-86BE-B7945004B6DC}" type="TxLink">
            <a:rPr lang="en-US" sz="1100" b="0" i="0" u="none" strike="noStrike">
              <a:solidFill>
                <a:srgbClr val="000000"/>
              </a:solidFill>
              <a:latin typeface="Kulim Park"/>
              <a:ea typeface="Calibri"/>
              <a:cs typeface="Calibri"/>
            </a:rPr>
            <a:pPr marL="0" indent="0" algn="ctr"/>
            <a:t> </a:t>
          </a:fld>
          <a:endParaRPr lang="en-US" sz="1400">
            <a:solidFill>
              <a:schemeClr val="bg1"/>
            </a:solidFill>
            <a:latin typeface="Kulim Park"/>
            <a:ea typeface="+mn-ea"/>
            <a:cs typeface="+mn-cs"/>
          </a:endParaRPr>
        </a:p>
      </xdr:txBody>
    </xdr:sp>
    <xdr:clientData/>
  </xdr:twoCellAnchor>
  <xdr:twoCellAnchor>
    <xdr:from>
      <xdr:col>15</xdr:col>
      <xdr:colOff>219075</xdr:colOff>
      <xdr:row>26</xdr:row>
      <xdr:rowOff>100601</xdr:rowOff>
    </xdr:from>
    <xdr:to>
      <xdr:col>16</xdr:col>
      <xdr:colOff>386681</xdr:colOff>
      <xdr:row>28</xdr:row>
      <xdr:rowOff>8526</xdr:rowOff>
    </xdr:to>
    <xdr:sp macro="" textlink="PivoteTable!F15">
      <xdr:nvSpPr>
        <xdr:cNvPr id="46" name="TextBox 45">
          <a:extLst>
            <a:ext uri="{FF2B5EF4-FFF2-40B4-BE49-F238E27FC236}">
              <a16:creationId xmlns:a16="http://schemas.microsoft.com/office/drawing/2014/main" id="{53D912FF-DABD-47DB-9775-2D26E4224189}"/>
            </a:ext>
          </a:extLst>
        </xdr:cNvPr>
        <xdr:cNvSpPr txBox="1"/>
      </xdr:nvSpPr>
      <xdr:spPr>
        <a:xfrm>
          <a:off x="9363075" y="4805951"/>
          <a:ext cx="777206"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73BEA5-124E-4C91-88F0-A6ACE8C41E82}" type="TxLink">
            <a:rPr lang="en-US" sz="1400" b="0" i="0" u="none" strike="noStrike">
              <a:solidFill>
                <a:schemeClr val="bg1"/>
              </a:solidFill>
              <a:latin typeface="Kulim Park"/>
              <a:ea typeface="Calibri"/>
              <a:cs typeface="Calibri"/>
            </a:rPr>
            <a:pPr marL="0" indent="0" algn="ctr"/>
            <a:t>959266</a:t>
          </a:fld>
          <a:endParaRPr lang="en-US" sz="1400">
            <a:solidFill>
              <a:schemeClr val="bg1"/>
            </a:solidFill>
            <a:latin typeface="Kulim Park"/>
            <a:ea typeface="+mn-ea"/>
            <a:cs typeface="+mn-cs"/>
          </a:endParaRPr>
        </a:p>
      </xdr:txBody>
    </xdr:sp>
    <xdr:clientData/>
  </xdr:twoCellAnchor>
  <xdr:twoCellAnchor>
    <xdr:from>
      <xdr:col>15</xdr:col>
      <xdr:colOff>141037</xdr:colOff>
      <xdr:row>28</xdr:row>
      <xdr:rowOff>32839</xdr:rowOff>
    </xdr:from>
    <xdr:to>
      <xdr:col>16</xdr:col>
      <xdr:colOff>523875</xdr:colOff>
      <xdr:row>29</xdr:row>
      <xdr:rowOff>156664</xdr:rowOff>
    </xdr:to>
    <xdr:sp macro="" textlink="PivoteTable!F14">
      <xdr:nvSpPr>
        <xdr:cNvPr id="47" name="TextBox 46">
          <a:extLst>
            <a:ext uri="{FF2B5EF4-FFF2-40B4-BE49-F238E27FC236}">
              <a16:creationId xmlns:a16="http://schemas.microsoft.com/office/drawing/2014/main" id="{099699F9-2CDD-4B1C-94F8-E733AB5E790D}"/>
            </a:ext>
          </a:extLst>
        </xdr:cNvPr>
        <xdr:cNvSpPr txBox="1"/>
      </xdr:nvSpPr>
      <xdr:spPr>
        <a:xfrm>
          <a:off x="9285037" y="5100139"/>
          <a:ext cx="9924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9A225EA-6315-466F-8591-505FBE21BBC1}" type="TxLink">
            <a:rPr lang="en-US" sz="1400" b="0" i="0" u="none" strike="noStrike">
              <a:solidFill>
                <a:schemeClr val="bg1"/>
              </a:solidFill>
              <a:latin typeface="Kulim Park"/>
              <a:ea typeface="Calibri"/>
              <a:cs typeface="Calibri"/>
            </a:rPr>
            <a:pPr marL="0" indent="0" algn="ctr"/>
            <a:t>633594</a:t>
          </a:fld>
          <a:endParaRPr lang="en-US" sz="1400">
            <a:solidFill>
              <a:schemeClr val="bg1"/>
            </a:solidFill>
            <a:latin typeface="Kulim Park"/>
            <a:ea typeface="+mn-ea"/>
            <a:cs typeface="+mn-cs"/>
          </a:endParaRPr>
        </a:p>
      </xdr:txBody>
    </xdr:sp>
    <xdr:clientData/>
  </xdr:twoCellAnchor>
  <xdr:twoCellAnchor>
    <xdr:from>
      <xdr:col>13</xdr:col>
      <xdr:colOff>228600</xdr:colOff>
      <xdr:row>21</xdr:row>
      <xdr:rowOff>95250</xdr:rowOff>
    </xdr:from>
    <xdr:to>
      <xdr:col>16</xdr:col>
      <xdr:colOff>228600</xdr:colOff>
      <xdr:row>22</xdr:row>
      <xdr:rowOff>114300</xdr:rowOff>
    </xdr:to>
    <xdr:sp macro="" textlink="">
      <xdr:nvSpPr>
        <xdr:cNvPr id="10" name="Rectangle 9">
          <a:extLst>
            <a:ext uri="{FF2B5EF4-FFF2-40B4-BE49-F238E27FC236}">
              <a16:creationId xmlns:a16="http://schemas.microsoft.com/office/drawing/2014/main" id="{F0917DEE-B8D6-42A3-8BAE-05663CB7028C}"/>
            </a:ext>
          </a:extLst>
        </xdr:cNvPr>
        <xdr:cNvSpPr/>
      </xdr:nvSpPr>
      <xdr:spPr>
        <a:xfrm>
          <a:off x="8153400" y="3895725"/>
          <a:ext cx="1828800" cy="2000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n>
                <a:noFill/>
              </a:ln>
              <a:solidFill>
                <a:schemeClr val="tx1">
                  <a:lumMod val="50000"/>
                  <a:lumOff val="50000"/>
                </a:schemeClr>
              </a:solidFill>
            </a:rPr>
            <a:t>   Salary amount by job title</a:t>
          </a:r>
        </a:p>
      </xdr:txBody>
    </xdr:sp>
    <xdr:clientData/>
  </xdr:twoCellAnchor>
  <xdr:twoCellAnchor>
    <xdr:from>
      <xdr:col>13</xdr:col>
      <xdr:colOff>266700</xdr:colOff>
      <xdr:row>20</xdr:row>
      <xdr:rowOff>47626</xdr:rowOff>
    </xdr:from>
    <xdr:to>
      <xdr:col>16</xdr:col>
      <xdr:colOff>0</xdr:colOff>
      <xdr:row>21</xdr:row>
      <xdr:rowOff>152401</xdr:rowOff>
    </xdr:to>
    <xdr:sp macro="" textlink="">
      <xdr:nvSpPr>
        <xdr:cNvPr id="54" name="Rectangle 53">
          <a:extLst>
            <a:ext uri="{FF2B5EF4-FFF2-40B4-BE49-F238E27FC236}">
              <a16:creationId xmlns:a16="http://schemas.microsoft.com/office/drawing/2014/main" id="{2866E6FA-75CF-4C69-B919-DC725735A7C5}"/>
            </a:ext>
          </a:extLst>
        </xdr:cNvPr>
        <xdr:cNvSpPr/>
      </xdr:nvSpPr>
      <xdr:spPr>
        <a:xfrm>
          <a:off x="8191500" y="3667126"/>
          <a:ext cx="1562100"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F29617"/>
              </a:solidFill>
            </a:rPr>
            <a:t>   Salaries</a:t>
          </a:r>
        </a:p>
        <a:p>
          <a:pPr algn="l"/>
          <a:endParaRPr lang="en-US" sz="1400" b="1">
            <a:solidFill>
              <a:srgbClr val="FFC000"/>
            </a:solidFill>
          </a:endParaRPr>
        </a:p>
      </xdr:txBody>
    </xdr:sp>
    <xdr:clientData/>
  </xdr:twoCellAnchor>
  <xdr:twoCellAnchor>
    <xdr:from>
      <xdr:col>17</xdr:col>
      <xdr:colOff>561976</xdr:colOff>
      <xdr:row>19</xdr:row>
      <xdr:rowOff>142876</xdr:rowOff>
    </xdr:from>
    <xdr:to>
      <xdr:col>22</xdr:col>
      <xdr:colOff>304800</xdr:colOff>
      <xdr:row>21</xdr:row>
      <xdr:rowOff>66676</xdr:rowOff>
    </xdr:to>
    <xdr:sp macro="" textlink="">
      <xdr:nvSpPr>
        <xdr:cNvPr id="65" name="Rectangle 64">
          <a:extLst>
            <a:ext uri="{FF2B5EF4-FFF2-40B4-BE49-F238E27FC236}">
              <a16:creationId xmlns:a16="http://schemas.microsoft.com/office/drawing/2014/main" id="{4DA27EA8-BFFD-4B68-9767-2FAC7CF14BD0}"/>
            </a:ext>
          </a:extLst>
        </xdr:cNvPr>
        <xdr:cNvSpPr/>
      </xdr:nvSpPr>
      <xdr:spPr>
        <a:xfrm>
          <a:off x="10925176" y="3581401"/>
          <a:ext cx="2790824"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F29617"/>
              </a:solidFill>
            </a:rPr>
            <a:t>Employment</a:t>
          </a:r>
          <a:r>
            <a:rPr lang="en-US" sz="1400" b="1" baseline="0">
              <a:solidFill>
                <a:srgbClr val="FFC000"/>
              </a:solidFill>
            </a:rPr>
            <a:t> </a:t>
          </a:r>
          <a:r>
            <a:rPr lang="en-US" sz="1400" b="1" baseline="0">
              <a:solidFill>
                <a:srgbClr val="F29617"/>
              </a:solidFill>
            </a:rPr>
            <a:t>Status</a:t>
          </a:r>
          <a:r>
            <a:rPr lang="en-US" sz="1400" b="1" baseline="0">
              <a:solidFill>
                <a:srgbClr val="FFC000"/>
              </a:solidFill>
            </a:rPr>
            <a:t> </a:t>
          </a:r>
          <a:r>
            <a:rPr lang="en-US" sz="1400" b="1" baseline="0">
              <a:solidFill>
                <a:srgbClr val="F29617"/>
              </a:solidFill>
            </a:rPr>
            <a:t>BreackDown</a:t>
          </a:r>
          <a:endParaRPr lang="en-US" sz="1400" b="1">
            <a:solidFill>
              <a:srgbClr val="F29617"/>
            </a:solidFill>
          </a:endParaRPr>
        </a:p>
        <a:p>
          <a:pPr algn="l"/>
          <a:endParaRPr lang="en-US" sz="1400" b="1">
            <a:solidFill>
              <a:srgbClr val="FFC000"/>
            </a:solidFill>
          </a:endParaRPr>
        </a:p>
      </xdr:txBody>
    </xdr:sp>
    <xdr:clientData/>
  </xdr:twoCellAnchor>
  <xdr:twoCellAnchor>
    <xdr:from>
      <xdr:col>17</xdr:col>
      <xdr:colOff>142874</xdr:colOff>
      <xdr:row>20</xdr:row>
      <xdr:rowOff>180974</xdr:rowOff>
    </xdr:from>
    <xdr:to>
      <xdr:col>20</xdr:col>
      <xdr:colOff>51434</xdr:colOff>
      <xdr:row>27</xdr:row>
      <xdr:rowOff>102869</xdr:rowOff>
    </xdr:to>
    <xdr:graphicFrame macro="">
      <xdr:nvGraphicFramePr>
        <xdr:cNvPr id="66" name="Chart 65">
          <a:extLst>
            <a:ext uri="{FF2B5EF4-FFF2-40B4-BE49-F238E27FC236}">
              <a16:creationId xmlns:a16="http://schemas.microsoft.com/office/drawing/2014/main" id="{570206DB-B33A-42D7-872B-0B3AC60C2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314325</xdr:colOff>
      <xdr:row>22</xdr:row>
      <xdr:rowOff>47625</xdr:rowOff>
    </xdr:from>
    <xdr:to>
      <xdr:col>21</xdr:col>
      <xdr:colOff>497205</xdr:colOff>
      <xdr:row>23</xdr:row>
      <xdr:rowOff>49530</xdr:rowOff>
    </xdr:to>
    <xdr:sp macro="" textlink="">
      <xdr:nvSpPr>
        <xdr:cNvPr id="11" name="Oval 10">
          <a:extLst>
            <a:ext uri="{FF2B5EF4-FFF2-40B4-BE49-F238E27FC236}">
              <a16:creationId xmlns:a16="http://schemas.microsoft.com/office/drawing/2014/main" id="{AF039551-35B8-4993-96DF-83F6B446C44F}"/>
            </a:ext>
          </a:extLst>
        </xdr:cNvPr>
        <xdr:cNvSpPr/>
      </xdr:nvSpPr>
      <xdr:spPr>
        <a:xfrm>
          <a:off x="13115925" y="4029075"/>
          <a:ext cx="182880" cy="1828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314325</xdr:colOff>
      <xdr:row>28</xdr:row>
      <xdr:rowOff>0</xdr:rowOff>
    </xdr:from>
    <xdr:to>
      <xdr:col>21</xdr:col>
      <xdr:colOff>497205</xdr:colOff>
      <xdr:row>29</xdr:row>
      <xdr:rowOff>1905</xdr:rowOff>
    </xdr:to>
    <xdr:sp macro="" textlink="">
      <xdr:nvSpPr>
        <xdr:cNvPr id="67" name="Oval 66">
          <a:extLst>
            <a:ext uri="{FF2B5EF4-FFF2-40B4-BE49-F238E27FC236}">
              <a16:creationId xmlns:a16="http://schemas.microsoft.com/office/drawing/2014/main" id="{802D239B-CF49-400F-BB28-9C8BD1A60CAC}"/>
            </a:ext>
          </a:extLst>
        </xdr:cNvPr>
        <xdr:cNvSpPr/>
      </xdr:nvSpPr>
      <xdr:spPr>
        <a:xfrm>
          <a:off x="13115925" y="5067300"/>
          <a:ext cx="182880" cy="182880"/>
        </a:xfrm>
        <a:prstGeom prst="ellipse">
          <a:avLst/>
        </a:prstGeom>
        <a:solidFill>
          <a:srgbClr val="F2961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133350</xdr:colOff>
      <xdr:row>27</xdr:row>
      <xdr:rowOff>123825</xdr:rowOff>
    </xdr:from>
    <xdr:to>
      <xdr:col>19</xdr:col>
      <xdr:colOff>316230</xdr:colOff>
      <xdr:row>28</xdr:row>
      <xdr:rowOff>125730</xdr:rowOff>
    </xdr:to>
    <xdr:sp macro="" textlink="">
      <xdr:nvSpPr>
        <xdr:cNvPr id="68" name="Oval 67">
          <a:extLst>
            <a:ext uri="{FF2B5EF4-FFF2-40B4-BE49-F238E27FC236}">
              <a16:creationId xmlns:a16="http://schemas.microsoft.com/office/drawing/2014/main" id="{0CA98105-D765-4C77-8965-2DC57CF1A1AE}"/>
            </a:ext>
          </a:extLst>
        </xdr:cNvPr>
        <xdr:cNvSpPr/>
      </xdr:nvSpPr>
      <xdr:spPr>
        <a:xfrm>
          <a:off x="11715750" y="5010150"/>
          <a:ext cx="182880" cy="18288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85725</xdr:colOff>
      <xdr:row>25</xdr:row>
      <xdr:rowOff>76199</xdr:rowOff>
    </xdr:from>
    <xdr:to>
      <xdr:col>12</xdr:col>
      <xdr:colOff>600075</xdr:colOff>
      <xdr:row>33</xdr:row>
      <xdr:rowOff>47625</xdr:rowOff>
    </xdr:to>
    <xdr:graphicFrame macro="">
      <xdr:nvGraphicFramePr>
        <xdr:cNvPr id="55" name="Chart 54">
          <a:extLst>
            <a:ext uri="{FF2B5EF4-FFF2-40B4-BE49-F238E27FC236}">
              <a16:creationId xmlns:a16="http://schemas.microsoft.com/office/drawing/2014/main" id="{F040B546-CADC-4AE7-B8B3-B9DC08B4F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171450</xdr:colOff>
      <xdr:row>21</xdr:row>
      <xdr:rowOff>152400</xdr:rowOff>
    </xdr:from>
    <xdr:to>
      <xdr:col>12</xdr:col>
      <xdr:colOff>381000</xdr:colOff>
      <xdr:row>25</xdr:row>
      <xdr:rowOff>9525</xdr:rowOff>
    </xdr:to>
    <xdr:sp macro="" textlink="">
      <xdr:nvSpPr>
        <xdr:cNvPr id="56" name="Rectangle 55">
          <a:extLst>
            <a:ext uri="{FF2B5EF4-FFF2-40B4-BE49-F238E27FC236}">
              <a16:creationId xmlns:a16="http://schemas.microsoft.com/office/drawing/2014/main" id="{EE993E42-F721-4F6B-B921-F259E3FD4203}"/>
            </a:ext>
          </a:extLst>
        </xdr:cNvPr>
        <xdr:cNvSpPr/>
      </xdr:nvSpPr>
      <xdr:spPr>
        <a:xfrm>
          <a:off x="5657850" y="3952875"/>
          <a:ext cx="2038350" cy="5810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n>
                <a:noFill/>
              </a:ln>
              <a:solidFill>
                <a:schemeClr val="tx1">
                  <a:lumMod val="50000"/>
                  <a:lumOff val="50000"/>
                </a:schemeClr>
              </a:solidFill>
              <a:latin typeface="Kulim Park"/>
            </a:rPr>
            <a:t>No. of employees according to age ranges and genders</a:t>
          </a:r>
        </a:p>
      </xdr:txBody>
    </xdr:sp>
    <xdr:clientData/>
  </xdr:twoCellAnchor>
  <xdr:twoCellAnchor>
    <xdr:from>
      <xdr:col>9</xdr:col>
      <xdr:colOff>295275</xdr:colOff>
      <xdr:row>20</xdr:row>
      <xdr:rowOff>76201</xdr:rowOff>
    </xdr:from>
    <xdr:to>
      <xdr:col>12</xdr:col>
      <xdr:colOff>28575</xdr:colOff>
      <xdr:row>22</xdr:row>
      <xdr:rowOff>1</xdr:rowOff>
    </xdr:to>
    <xdr:sp macro="" textlink="">
      <xdr:nvSpPr>
        <xdr:cNvPr id="57" name="Rectangle 56">
          <a:extLst>
            <a:ext uri="{FF2B5EF4-FFF2-40B4-BE49-F238E27FC236}">
              <a16:creationId xmlns:a16="http://schemas.microsoft.com/office/drawing/2014/main" id="{CED8B936-74F4-4E4E-BB3F-D6D15BB55DA0}"/>
            </a:ext>
          </a:extLst>
        </xdr:cNvPr>
        <xdr:cNvSpPr/>
      </xdr:nvSpPr>
      <xdr:spPr>
        <a:xfrm>
          <a:off x="5781675" y="3695701"/>
          <a:ext cx="1562100"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F29617"/>
              </a:solidFill>
            </a:rPr>
            <a:t>Age</a:t>
          </a:r>
          <a:r>
            <a:rPr lang="en-US" sz="1400" b="1" baseline="0">
              <a:solidFill>
                <a:srgbClr val="F29617"/>
              </a:solidFill>
            </a:rPr>
            <a:t> Range</a:t>
          </a:r>
          <a:endParaRPr lang="en-US" sz="1400" b="1">
            <a:solidFill>
              <a:srgbClr val="F29617"/>
            </a:solidFill>
          </a:endParaRPr>
        </a:p>
      </xdr:txBody>
    </xdr:sp>
    <xdr:clientData/>
  </xdr:twoCellAnchor>
  <xdr:twoCellAnchor>
    <xdr:from>
      <xdr:col>12</xdr:col>
      <xdr:colOff>47625</xdr:colOff>
      <xdr:row>23</xdr:row>
      <xdr:rowOff>142875</xdr:rowOff>
    </xdr:from>
    <xdr:to>
      <xdr:col>13</xdr:col>
      <xdr:colOff>266701</xdr:colOff>
      <xdr:row>25</xdr:row>
      <xdr:rowOff>85725</xdr:rowOff>
    </xdr:to>
    <xdr:sp macro="" textlink="">
      <xdr:nvSpPr>
        <xdr:cNvPr id="60" name="TextBox 59">
          <a:extLst>
            <a:ext uri="{FF2B5EF4-FFF2-40B4-BE49-F238E27FC236}">
              <a16:creationId xmlns:a16="http://schemas.microsoft.com/office/drawing/2014/main" id="{8A4465A1-F2BB-4877-B651-8E8C9EEF6BFD}"/>
            </a:ext>
          </a:extLst>
        </xdr:cNvPr>
        <xdr:cNvSpPr txBox="1"/>
      </xdr:nvSpPr>
      <xdr:spPr>
        <a:xfrm>
          <a:off x="7362825" y="4305300"/>
          <a:ext cx="82867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a:solidFill>
                <a:schemeClr val="bg1"/>
              </a:solidFill>
              <a:latin typeface="Kulim Park"/>
              <a:ea typeface="+mn-ea"/>
              <a:cs typeface="+mn-cs"/>
            </a:rPr>
            <a:t>Males</a:t>
          </a:r>
        </a:p>
      </xdr:txBody>
    </xdr:sp>
    <xdr:clientData/>
  </xdr:twoCellAnchor>
  <xdr:twoCellAnchor>
    <xdr:from>
      <xdr:col>11</xdr:col>
      <xdr:colOff>495299</xdr:colOff>
      <xdr:row>24</xdr:row>
      <xdr:rowOff>19050</xdr:rowOff>
    </xdr:from>
    <xdr:to>
      <xdr:col>12</xdr:col>
      <xdr:colOff>68579</xdr:colOff>
      <xdr:row>25</xdr:row>
      <xdr:rowOff>20955</xdr:rowOff>
    </xdr:to>
    <xdr:sp macro="" textlink="">
      <xdr:nvSpPr>
        <xdr:cNvPr id="12" name="Oval 11">
          <a:extLst>
            <a:ext uri="{FF2B5EF4-FFF2-40B4-BE49-F238E27FC236}">
              <a16:creationId xmlns:a16="http://schemas.microsoft.com/office/drawing/2014/main" id="{4DA350E6-36C0-4D85-97BC-5EE106D45472}"/>
            </a:ext>
          </a:extLst>
        </xdr:cNvPr>
        <xdr:cNvSpPr/>
      </xdr:nvSpPr>
      <xdr:spPr>
        <a:xfrm>
          <a:off x="7200899" y="4362450"/>
          <a:ext cx="182880" cy="182880"/>
        </a:xfrm>
        <a:prstGeom prst="ellipse">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447676</xdr:colOff>
      <xdr:row>23</xdr:row>
      <xdr:rowOff>152400</xdr:rowOff>
    </xdr:from>
    <xdr:to>
      <xdr:col>11</xdr:col>
      <xdr:colOff>476250</xdr:colOff>
      <xdr:row>25</xdr:row>
      <xdr:rowOff>95250</xdr:rowOff>
    </xdr:to>
    <xdr:sp macro="" textlink="">
      <xdr:nvSpPr>
        <xdr:cNvPr id="61" name="TextBox 60">
          <a:extLst>
            <a:ext uri="{FF2B5EF4-FFF2-40B4-BE49-F238E27FC236}">
              <a16:creationId xmlns:a16="http://schemas.microsoft.com/office/drawing/2014/main" id="{1D29467E-6629-47F3-B121-B16797FAD39B}"/>
            </a:ext>
          </a:extLst>
        </xdr:cNvPr>
        <xdr:cNvSpPr txBox="1"/>
      </xdr:nvSpPr>
      <xdr:spPr>
        <a:xfrm>
          <a:off x="6543676" y="4314825"/>
          <a:ext cx="63817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a:solidFill>
                <a:schemeClr val="bg1"/>
              </a:solidFill>
              <a:latin typeface="Kulim Park"/>
              <a:ea typeface="+mn-ea"/>
              <a:cs typeface="+mn-cs"/>
            </a:rPr>
            <a:t>Females</a:t>
          </a:r>
        </a:p>
      </xdr:txBody>
    </xdr:sp>
    <xdr:clientData/>
  </xdr:twoCellAnchor>
  <xdr:twoCellAnchor>
    <xdr:from>
      <xdr:col>10</xdr:col>
      <xdr:colOff>314325</xdr:colOff>
      <xdr:row>24</xdr:row>
      <xdr:rowOff>28575</xdr:rowOff>
    </xdr:from>
    <xdr:to>
      <xdr:col>10</xdr:col>
      <xdr:colOff>497205</xdr:colOff>
      <xdr:row>25</xdr:row>
      <xdr:rowOff>30480</xdr:rowOff>
    </xdr:to>
    <xdr:sp macro="" textlink="">
      <xdr:nvSpPr>
        <xdr:cNvPr id="62" name="Oval 61">
          <a:extLst>
            <a:ext uri="{FF2B5EF4-FFF2-40B4-BE49-F238E27FC236}">
              <a16:creationId xmlns:a16="http://schemas.microsoft.com/office/drawing/2014/main" id="{EE167856-5522-4776-A30E-5F6CB5DB5C7B}"/>
            </a:ext>
          </a:extLst>
        </xdr:cNvPr>
        <xdr:cNvSpPr/>
      </xdr:nvSpPr>
      <xdr:spPr>
        <a:xfrm>
          <a:off x="6410325" y="4371975"/>
          <a:ext cx="182880" cy="182880"/>
        </a:xfrm>
        <a:prstGeom prst="ellipse">
          <a:avLst/>
        </a:prstGeom>
        <a:solidFill>
          <a:srgbClr val="F2961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304800</xdr:colOff>
      <xdr:row>25</xdr:row>
      <xdr:rowOff>148828</xdr:rowOff>
    </xdr:from>
    <xdr:to>
      <xdr:col>7</xdr:col>
      <xdr:colOff>447675</xdr:colOff>
      <xdr:row>29</xdr:row>
      <xdr:rowOff>44053</xdr:rowOff>
    </xdr:to>
    <xdr:graphicFrame macro="">
      <xdr:nvGraphicFramePr>
        <xdr:cNvPr id="64" name="Chart 63">
          <a:extLst>
            <a:ext uri="{FF2B5EF4-FFF2-40B4-BE49-F238E27FC236}">
              <a16:creationId xmlns:a16="http://schemas.microsoft.com/office/drawing/2014/main" id="{0B315E35-DE5D-4B78-A351-AFFB47098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309563</xdr:colOff>
      <xdr:row>28</xdr:row>
      <xdr:rowOff>50006</xdr:rowOff>
    </xdr:from>
    <xdr:to>
      <xdr:col>7</xdr:col>
      <xdr:colOff>504825</xdr:colOff>
      <xdr:row>31</xdr:row>
      <xdr:rowOff>130968</xdr:rowOff>
    </xdr:to>
    <xdr:graphicFrame macro="">
      <xdr:nvGraphicFramePr>
        <xdr:cNvPr id="69" name="Chart 68">
          <a:extLst>
            <a:ext uri="{FF2B5EF4-FFF2-40B4-BE49-F238E27FC236}">
              <a16:creationId xmlns:a16="http://schemas.microsoft.com/office/drawing/2014/main" id="{D260DBE2-C6A0-4680-8F3B-9E9EDCA13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328614</xdr:colOff>
      <xdr:row>30</xdr:row>
      <xdr:rowOff>123825</xdr:rowOff>
    </xdr:from>
    <xdr:to>
      <xdr:col>7</xdr:col>
      <xdr:colOff>485776</xdr:colOff>
      <xdr:row>34</xdr:row>
      <xdr:rowOff>19050</xdr:rowOff>
    </xdr:to>
    <xdr:graphicFrame macro="">
      <xdr:nvGraphicFramePr>
        <xdr:cNvPr id="70" name="Chart 69">
          <a:extLst>
            <a:ext uri="{FF2B5EF4-FFF2-40B4-BE49-F238E27FC236}">
              <a16:creationId xmlns:a16="http://schemas.microsoft.com/office/drawing/2014/main" id="{4BF3300F-ACB0-4F51-AF9D-C0CDE40F3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347664</xdr:colOff>
      <xdr:row>25</xdr:row>
      <xdr:rowOff>139699</xdr:rowOff>
    </xdr:from>
    <xdr:to>
      <xdr:col>7</xdr:col>
      <xdr:colOff>233364</xdr:colOff>
      <xdr:row>27</xdr:row>
      <xdr:rowOff>19050</xdr:rowOff>
    </xdr:to>
    <xdr:sp macro="" textlink="">
      <xdr:nvSpPr>
        <xdr:cNvPr id="71" name="TextBox 70">
          <a:extLst>
            <a:ext uri="{FF2B5EF4-FFF2-40B4-BE49-F238E27FC236}">
              <a16:creationId xmlns:a16="http://schemas.microsoft.com/office/drawing/2014/main" id="{5DDAA378-44DA-4B7A-8C64-91879773D890}"/>
            </a:ext>
          </a:extLst>
        </xdr:cNvPr>
        <xdr:cNvSpPr txBox="1"/>
      </xdr:nvSpPr>
      <xdr:spPr>
        <a:xfrm>
          <a:off x="3395664" y="4664074"/>
          <a:ext cx="1104900" cy="241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050" b="0" i="0" u="none" strike="noStrike">
              <a:solidFill>
                <a:schemeClr val="bg1"/>
              </a:solidFill>
              <a:effectLst/>
              <a:latin typeface="+mn-lt"/>
              <a:ea typeface="+mn-ea"/>
              <a:cs typeface="+mn-cs"/>
            </a:rPr>
            <a:t>Branch Office</a:t>
          </a:r>
          <a:r>
            <a:rPr lang="en-US" sz="1050">
              <a:solidFill>
                <a:schemeClr val="bg1"/>
              </a:solidFill>
            </a:rPr>
            <a:t> </a:t>
          </a:r>
          <a:endParaRPr lang="en-US" sz="1050" b="0">
            <a:solidFill>
              <a:schemeClr val="bg1"/>
            </a:solidFill>
            <a:latin typeface="Kulim Park"/>
            <a:ea typeface="+mn-ea"/>
            <a:cs typeface="+mn-cs"/>
          </a:endParaRPr>
        </a:p>
      </xdr:txBody>
    </xdr:sp>
    <xdr:clientData/>
  </xdr:twoCellAnchor>
  <xdr:twoCellAnchor>
    <xdr:from>
      <xdr:col>5</xdr:col>
      <xdr:colOff>338139</xdr:colOff>
      <xdr:row>28</xdr:row>
      <xdr:rowOff>12699</xdr:rowOff>
    </xdr:from>
    <xdr:to>
      <xdr:col>7</xdr:col>
      <xdr:colOff>223839</xdr:colOff>
      <xdr:row>29</xdr:row>
      <xdr:rowOff>101599</xdr:rowOff>
    </xdr:to>
    <xdr:sp macro="" textlink="">
      <xdr:nvSpPr>
        <xdr:cNvPr id="72" name="TextBox 71">
          <a:extLst>
            <a:ext uri="{FF2B5EF4-FFF2-40B4-BE49-F238E27FC236}">
              <a16:creationId xmlns:a16="http://schemas.microsoft.com/office/drawing/2014/main" id="{15AC4EB5-924A-4512-8DFE-4F7EEEEFE9C6}"/>
            </a:ext>
          </a:extLst>
        </xdr:cNvPr>
        <xdr:cNvSpPr txBox="1"/>
      </xdr:nvSpPr>
      <xdr:spPr>
        <a:xfrm>
          <a:off x="3386139" y="5079999"/>
          <a:ext cx="1104900"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050" b="0" i="0" u="none" strike="noStrike">
              <a:solidFill>
                <a:schemeClr val="bg1"/>
              </a:solidFill>
              <a:effectLst/>
              <a:latin typeface="+mn-lt"/>
              <a:ea typeface="+mn-ea"/>
              <a:cs typeface="+mn-cs"/>
            </a:rPr>
            <a:t>Head Office</a:t>
          </a:r>
          <a:r>
            <a:rPr lang="en-US" sz="1050">
              <a:solidFill>
                <a:schemeClr val="bg1"/>
              </a:solidFill>
            </a:rPr>
            <a:t> </a:t>
          </a:r>
          <a:endParaRPr lang="en-US" sz="1050" b="0">
            <a:solidFill>
              <a:schemeClr val="bg1"/>
            </a:solidFill>
            <a:latin typeface="Kulim Park"/>
            <a:ea typeface="+mn-ea"/>
            <a:cs typeface="+mn-cs"/>
          </a:endParaRPr>
        </a:p>
      </xdr:txBody>
    </xdr:sp>
    <xdr:clientData/>
  </xdr:twoCellAnchor>
  <xdr:twoCellAnchor>
    <xdr:from>
      <xdr:col>5</xdr:col>
      <xdr:colOff>366714</xdr:colOff>
      <xdr:row>30</xdr:row>
      <xdr:rowOff>60721</xdr:rowOff>
    </xdr:from>
    <xdr:to>
      <xdr:col>7</xdr:col>
      <xdr:colOff>138114</xdr:colOff>
      <xdr:row>32</xdr:row>
      <xdr:rowOff>3571</xdr:rowOff>
    </xdr:to>
    <xdr:sp macro="" textlink="">
      <xdr:nvSpPr>
        <xdr:cNvPr id="73" name="TextBox 72">
          <a:extLst>
            <a:ext uri="{FF2B5EF4-FFF2-40B4-BE49-F238E27FC236}">
              <a16:creationId xmlns:a16="http://schemas.microsoft.com/office/drawing/2014/main" id="{96BDFCDA-6824-4731-8030-63D0078A0573}"/>
            </a:ext>
          </a:extLst>
        </xdr:cNvPr>
        <xdr:cNvSpPr txBox="1"/>
      </xdr:nvSpPr>
      <xdr:spPr>
        <a:xfrm>
          <a:off x="3414714" y="5489971"/>
          <a:ext cx="990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050" b="0" i="0" u="none" strike="noStrike">
              <a:solidFill>
                <a:schemeClr val="bg1"/>
              </a:solidFill>
              <a:effectLst/>
              <a:latin typeface="+mn-lt"/>
              <a:ea typeface="+mn-ea"/>
              <a:cs typeface="+mn-cs"/>
            </a:rPr>
            <a:t>Remote</a:t>
          </a:r>
          <a:r>
            <a:rPr lang="en-US" sz="1050">
              <a:solidFill>
                <a:schemeClr val="bg1"/>
              </a:solidFill>
            </a:rPr>
            <a:t> </a:t>
          </a:r>
          <a:endParaRPr lang="en-US" sz="1050" b="0">
            <a:solidFill>
              <a:schemeClr val="bg1"/>
            </a:solidFill>
            <a:latin typeface="Kulim Park"/>
            <a:ea typeface="+mn-ea"/>
            <a:cs typeface="+mn-cs"/>
          </a:endParaRPr>
        </a:p>
      </xdr:txBody>
    </xdr:sp>
    <xdr:clientData/>
  </xdr:twoCellAnchor>
  <xdr:twoCellAnchor>
    <xdr:from>
      <xdr:col>7</xdr:col>
      <xdr:colOff>314328</xdr:colOff>
      <xdr:row>26</xdr:row>
      <xdr:rowOff>139699</xdr:rowOff>
    </xdr:from>
    <xdr:to>
      <xdr:col>8</xdr:col>
      <xdr:colOff>457200</xdr:colOff>
      <xdr:row>28</xdr:row>
      <xdr:rowOff>19050</xdr:rowOff>
    </xdr:to>
    <xdr:sp macro="" textlink="PivoteTable!P13">
      <xdr:nvSpPr>
        <xdr:cNvPr id="74" name="TextBox 73">
          <a:extLst>
            <a:ext uri="{FF2B5EF4-FFF2-40B4-BE49-F238E27FC236}">
              <a16:creationId xmlns:a16="http://schemas.microsoft.com/office/drawing/2014/main" id="{98E749A3-AFDC-4F6A-9889-DBAA5BD1DB4C}"/>
            </a:ext>
          </a:extLst>
        </xdr:cNvPr>
        <xdr:cNvSpPr txBox="1"/>
      </xdr:nvSpPr>
      <xdr:spPr>
        <a:xfrm>
          <a:off x="4581528" y="4845049"/>
          <a:ext cx="752472" cy="241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763D93A-2159-42BB-B380-7D0009FC20BA}" type="TxLink">
            <a:rPr lang="en-US" sz="1400" b="1" i="0" u="none" strike="noStrike">
              <a:solidFill>
                <a:schemeClr val="bg1"/>
              </a:solidFill>
              <a:latin typeface="Calibri"/>
              <a:ea typeface="Calibri"/>
              <a:cs typeface="Calibri"/>
            </a:rPr>
            <a:pPr marL="0" indent="0" algn="l"/>
            <a:t>46%</a:t>
          </a:fld>
          <a:endParaRPr lang="en-US" sz="1200" b="0">
            <a:solidFill>
              <a:schemeClr val="bg1"/>
            </a:solidFill>
            <a:latin typeface="Kulim Park"/>
            <a:ea typeface="+mn-ea"/>
            <a:cs typeface="+mn-cs"/>
          </a:endParaRPr>
        </a:p>
      </xdr:txBody>
    </xdr:sp>
    <xdr:clientData/>
  </xdr:twoCellAnchor>
  <xdr:twoCellAnchor>
    <xdr:from>
      <xdr:col>7</xdr:col>
      <xdr:colOff>323853</xdr:colOff>
      <xdr:row>29</xdr:row>
      <xdr:rowOff>41274</xdr:rowOff>
    </xdr:from>
    <xdr:to>
      <xdr:col>8</xdr:col>
      <xdr:colOff>466725</xdr:colOff>
      <xdr:row>30</xdr:row>
      <xdr:rowOff>130174</xdr:rowOff>
    </xdr:to>
    <xdr:sp macro="" textlink="PivoteTable!P14">
      <xdr:nvSpPr>
        <xdr:cNvPr id="75" name="TextBox 74">
          <a:extLst>
            <a:ext uri="{FF2B5EF4-FFF2-40B4-BE49-F238E27FC236}">
              <a16:creationId xmlns:a16="http://schemas.microsoft.com/office/drawing/2014/main" id="{B163F44E-489F-4A41-9E90-873ED6A19BE2}"/>
            </a:ext>
          </a:extLst>
        </xdr:cNvPr>
        <xdr:cNvSpPr txBox="1"/>
      </xdr:nvSpPr>
      <xdr:spPr>
        <a:xfrm>
          <a:off x="4591053" y="5289549"/>
          <a:ext cx="752472"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6D8D7EC-8351-4174-84DF-96F8EAFE03F1}" type="TxLink">
            <a:rPr lang="en-US" sz="1400" b="1" i="0" u="none" strike="noStrike">
              <a:solidFill>
                <a:schemeClr val="bg1"/>
              </a:solidFill>
              <a:latin typeface="Calibri"/>
              <a:ea typeface="Calibri"/>
              <a:cs typeface="Calibri"/>
            </a:rPr>
            <a:pPr marL="0" indent="0" algn="l"/>
            <a:t>16%</a:t>
          </a:fld>
          <a:endParaRPr lang="en-US" sz="1200" b="0">
            <a:solidFill>
              <a:schemeClr val="bg1"/>
            </a:solidFill>
            <a:latin typeface="Kulim Park"/>
            <a:ea typeface="+mn-ea"/>
            <a:cs typeface="+mn-cs"/>
          </a:endParaRPr>
        </a:p>
      </xdr:txBody>
    </xdr:sp>
    <xdr:clientData/>
  </xdr:twoCellAnchor>
  <xdr:twoCellAnchor>
    <xdr:from>
      <xdr:col>7</xdr:col>
      <xdr:colOff>315149</xdr:colOff>
      <xdr:row>31</xdr:row>
      <xdr:rowOff>107949</xdr:rowOff>
    </xdr:from>
    <xdr:to>
      <xdr:col>8</xdr:col>
      <xdr:colOff>380179</xdr:colOff>
      <xdr:row>33</xdr:row>
      <xdr:rowOff>50799</xdr:rowOff>
    </xdr:to>
    <xdr:sp macro="" textlink="PivoteTable!P15">
      <xdr:nvSpPr>
        <xdr:cNvPr id="76" name="TextBox 75">
          <a:extLst>
            <a:ext uri="{FF2B5EF4-FFF2-40B4-BE49-F238E27FC236}">
              <a16:creationId xmlns:a16="http://schemas.microsoft.com/office/drawing/2014/main" id="{51B0887E-711B-4F48-99DE-C6C619CE6848}"/>
            </a:ext>
          </a:extLst>
        </xdr:cNvPr>
        <xdr:cNvSpPr txBox="1"/>
      </xdr:nvSpPr>
      <xdr:spPr>
        <a:xfrm>
          <a:off x="4582349" y="5718174"/>
          <a:ext cx="67463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E452FA2-CAE2-4AB4-9037-FC460ABF9B8A}" type="TxLink">
            <a:rPr lang="en-US" sz="1400" b="1" i="0" u="none" strike="noStrike">
              <a:solidFill>
                <a:schemeClr val="bg1"/>
              </a:solidFill>
              <a:latin typeface="Calibri"/>
              <a:ea typeface="Calibri"/>
              <a:cs typeface="Calibri"/>
            </a:rPr>
            <a:pPr marL="0" indent="0" algn="l"/>
            <a:t>38%</a:t>
          </a:fld>
          <a:endParaRPr lang="en-US" sz="1200" b="0">
            <a:solidFill>
              <a:schemeClr val="bg1"/>
            </a:solidFill>
            <a:latin typeface="Kulim Park"/>
            <a:ea typeface="+mn-ea"/>
            <a:cs typeface="+mn-cs"/>
          </a:endParaRPr>
        </a:p>
      </xdr:txBody>
    </xdr:sp>
    <xdr:clientData/>
  </xdr:twoCellAnchor>
  <xdr:twoCellAnchor>
    <xdr:from>
      <xdr:col>5</xdr:col>
      <xdr:colOff>342900</xdr:colOff>
      <xdr:row>24</xdr:row>
      <xdr:rowOff>57150</xdr:rowOff>
    </xdr:from>
    <xdr:to>
      <xdr:col>8</xdr:col>
      <xdr:colOff>552450</xdr:colOff>
      <xdr:row>25</xdr:row>
      <xdr:rowOff>161925</xdr:rowOff>
    </xdr:to>
    <xdr:sp macro="" textlink="">
      <xdr:nvSpPr>
        <xdr:cNvPr id="80" name="Rectangle 79">
          <a:extLst>
            <a:ext uri="{FF2B5EF4-FFF2-40B4-BE49-F238E27FC236}">
              <a16:creationId xmlns:a16="http://schemas.microsoft.com/office/drawing/2014/main" id="{72CAEA61-F763-4AAC-A5BD-E2E1354777B3}"/>
            </a:ext>
          </a:extLst>
        </xdr:cNvPr>
        <xdr:cNvSpPr/>
      </xdr:nvSpPr>
      <xdr:spPr>
        <a:xfrm>
          <a:off x="3390900" y="4400550"/>
          <a:ext cx="2038350"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n>
                <a:noFill/>
              </a:ln>
              <a:solidFill>
                <a:schemeClr val="tx1">
                  <a:lumMod val="50000"/>
                  <a:lumOff val="50000"/>
                </a:schemeClr>
              </a:solidFill>
              <a:latin typeface="Kulim Park"/>
            </a:rPr>
            <a:t>   Employees</a:t>
          </a:r>
          <a:r>
            <a:rPr lang="en-US" sz="1100" baseline="0">
              <a:ln>
                <a:noFill/>
              </a:ln>
              <a:solidFill>
                <a:schemeClr val="tx1">
                  <a:lumMod val="50000"/>
                  <a:lumOff val="50000"/>
                </a:schemeClr>
              </a:solidFill>
              <a:latin typeface="Kulim Park"/>
            </a:rPr>
            <a:t> to Workplace</a:t>
          </a:r>
          <a:endParaRPr lang="en-US" sz="1100">
            <a:ln>
              <a:noFill/>
            </a:ln>
            <a:solidFill>
              <a:schemeClr val="tx1">
                <a:lumMod val="50000"/>
                <a:lumOff val="50000"/>
              </a:schemeClr>
            </a:solidFill>
            <a:latin typeface="Kulim Park"/>
          </a:endParaRPr>
        </a:p>
      </xdr:txBody>
    </xdr:sp>
    <xdr:clientData/>
  </xdr:twoCellAnchor>
  <xdr:twoCellAnchor>
    <xdr:from>
      <xdr:col>5</xdr:col>
      <xdr:colOff>476250</xdr:colOff>
      <xdr:row>23</xdr:row>
      <xdr:rowOff>28576</xdr:rowOff>
    </xdr:from>
    <xdr:to>
      <xdr:col>8</xdr:col>
      <xdr:colOff>209550</xdr:colOff>
      <xdr:row>24</xdr:row>
      <xdr:rowOff>133351</xdr:rowOff>
    </xdr:to>
    <xdr:sp macro="" textlink="">
      <xdr:nvSpPr>
        <xdr:cNvPr id="81" name="Rectangle 80">
          <a:extLst>
            <a:ext uri="{FF2B5EF4-FFF2-40B4-BE49-F238E27FC236}">
              <a16:creationId xmlns:a16="http://schemas.microsoft.com/office/drawing/2014/main" id="{ED854DFE-3805-4EAA-B873-B416916731E6}"/>
            </a:ext>
          </a:extLst>
        </xdr:cNvPr>
        <xdr:cNvSpPr/>
      </xdr:nvSpPr>
      <xdr:spPr>
        <a:xfrm>
          <a:off x="3524250" y="4191001"/>
          <a:ext cx="1562100"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F29617"/>
              </a:solidFill>
            </a:rPr>
            <a:t>Work</a:t>
          </a:r>
          <a:r>
            <a:rPr lang="en-US" sz="1400" b="1" baseline="0">
              <a:solidFill>
                <a:srgbClr val="F29617"/>
              </a:solidFill>
            </a:rPr>
            <a:t> Location</a:t>
          </a:r>
          <a:endParaRPr lang="en-US" sz="1400" b="1">
            <a:solidFill>
              <a:srgbClr val="F29617"/>
            </a:solidFill>
          </a:endParaRPr>
        </a:p>
      </xdr:txBody>
    </xdr:sp>
    <xdr:clientData/>
  </xdr:twoCellAnchor>
  <xdr:twoCellAnchor>
    <xdr:from>
      <xdr:col>5</xdr:col>
      <xdr:colOff>600075</xdr:colOff>
      <xdr:row>14</xdr:row>
      <xdr:rowOff>139699</xdr:rowOff>
    </xdr:from>
    <xdr:to>
      <xdr:col>7</xdr:col>
      <xdr:colOff>400050</xdr:colOff>
      <xdr:row>16</xdr:row>
      <xdr:rowOff>92074</xdr:rowOff>
    </xdr:to>
    <xdr:sp macro="" textlink="">
      <xdr:nvSpPr>
        <xdr:cNvPr id="63" name="TextBox 62">
          <a:extLst>
            <a:ext uri="{FF2B5EF4-FFF2-40B4-BE49-F238E27FC236}">
              <a16:creationId xmlns:a16="http://schemas.microsoft.com/office/drawing/2014/main" id="{5B999E8A-9646-4A3B-87D4-62791F252C86}"/>
            </a:ext>
          </a:extLst>
        </xdr:cNvPr>
        <xdr:cNvSpPr txBox="1"/>
      </xdr:nvSpPr>
      <xdr:spPr>
        <a:xfrm>
          <a:off x="3648075" y="2673349"/>
          <a:ext cx="10191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chemeClr val="bg1"/>
              </a:solidFill>
              <a:effectLst/>
              <a:latin typeface="+mn-lt"/>
              <a:ea typeface="+mn-ea"/>
              <a:cs typeface="+mn-cs"/>
            </a:rPr>
            <a:t>Design</a:t>
          </a:r>
          <a:r>
            <a:rPr lang="en-US" sz="1200">
              <a:solidFill>
                <a:schemeClr val="bg1"/>
              </a:solidFill>
            </a:rPr>
            <a:t> </a:t>
          </a:r>
          <a:endParaRPr lang="en-US" sz="1200" b="0">
            <a:solidFill>
              <a:schemeClr val="bg1"/>
            </a:solidFill>
            <a:latin typeface="Kulim Park"/>
            <a:ea typeface="+mn-ea"/>
            <a:cs typeface="+mn-cs"/>
          </a:endParaRPr>
        </a:p>
      </xdr:txBody>
    </xdr:sp>
    <xdr:clientData/>
  </xdr:twoCellAnchor>
  <xdr:twoCellAnchor>
    <xdr:from>
      <xdr:col>6</xdr:col>
      <xdr:colOff>9525</xdr:colOff>
      <xdr:row>16</xdr:row>
      <xdr:rowOff>98424</xdr:rowOff>
    </xdr:from>
    <xdr:to>
      <xdr:col>7</xdr:col>
      <xdr:colOff>352425</xdr:colOff>
      <xdr:row>18</xdr:row>
      <xdr:rowOff>6349</xdr:rowOff>
    </xdr:to>
    <xdr:sp macro="" textlink="">
      <xdr:nvSpPr>
        <xdr:cNvPr id="77" name="TextBox 76">
          <a:extLst>
            <a:ext uri="{FF2B5EF4-FFF2-40B4-BE49-F238E27FC236}">
              <a16:creationId xmlns:a16="http://schemas.microsoft.com/office/drawing/2014/main" id="{9490B3F6-DF63-4555-A949-0A8DB025F027}"/>
            </a:ext>
          </a:extLst>
        </xdr:cNvPr>
        <xdr:cNvSpPr txBox="1"/>
      </xdr:nvSpPr>
      <xdr:spPr>
        <a:xfrm>
          <a:off x="3667125" y="2994024"/>
          <a:ext cx="952500"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chemeClr val="bg1"/>
              </a:solidFill>
              <a:effectLst/>
              <a:latin typeface="+mn-lt"/>
              <a:ea typeface="+mn-ea"/>
              <a:cs typeface="+mn-cs"/>
            </a:rPr>
            <a:t>Excel</a:t>
          </a:r>
          <a:r>
            <a:rPr lang="en-US" sz="1200">
              <a:solidFill>
                <a:schemeClr val="bg1"/>
              </a:solidFill>
            </a:rPr>
            <a:t> </a:t>
          </a:r>
          <a:endParaRPr lang="en-US" sz="1200" b="0">
            <a:solidFill>
              <a:schemeClr val="bg1"/>
            </a:solidFill>
            <a:latin typeface="Kulim Park"/>
            <a:ea typeface="+mn-ea"/>
            <a:cs typeface="+mn-cs"/>
          </a:endParaRPr>
        </a:p>
      </xdr:txBody>
    </xdr:sp>
    <xdr:clientData/>
  </xdr:twoCellAnchor>
  <xdr:twoCellAnchor>
    <xdr:from>
      <xdr:col>6</xdr:col>
      <xdr:colOff>28575</xdr:colOff>
      <xdr:row>18</xdr:row>
      <xdr:rowOff>79374</xdr:rowOff>
    </xdr:from>
    <xdr:to>
      <xdr:col>7</xdr:col>
      <xdr:colOff>409575</xdr:colOff>
      <xdr:row>20</xdr:row>
      <xdr:rowOff>22224</xdr:rowOff>
    </xdr:to>
    <xdr:sp macro="" textlink="">
      <xdr:nvSpPr>
        <xdr:cNvPr id="78" name="TextBox 77">
          <a:extLst>
            <a:ext uri="{FF2B5EF4-FFF2-40B4-BE49-F238E27FC236}">
              <a16:creationId xmlns:a16="http://schemas.microsoft.com/office/drawing/2014/main" id="{3E374854-AD83-4BDD-A0F5-51B5A6E1384D}"/>
            </a:ext>
          </a:extLst>
        </xdr:cNvPr>
        <xdr:cNvSpPr txBox="1"/>
      </xdr:nvSpPr>
      <xdr:spPr>
        <a:xfrm>
          <a:off x="3686175" y="3336924"/>
          <a:ext cx="990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chemeClr val="bg1"/>
              </a:solidFill>
              <a:effectLst/>
              <a:latin typeface="+mn-lt"/>
              <a:ea typeface="+mn-ea"/>
              <a:cs typeface="+mn-cs"/>
            </a:rPr>
            <a:t>Management</a:t>
          </a:r>
          <a:r>
            <a:rPr lang="en-US" sz="1200">
              <a:solidFill>
                <a:schemeClr val="bg1"/>
              </a:solidFill>
            </a:rPr>
            <a:t> </a:t>
          </a:r>
          <a:endParaRPr lang="en-US" sz="1200" b="0">
            <a:solidFill>
              <a:schemeClr val="bg1"/>
            </a:solidFill>
            <a:latin typeface="Kulim Park"/>
            <a:ea typeface="+mn-ea"/>
            <a:cs typeface="+mn-cs"/>
          </a:endParaRPr>
        </a:p>
      </xdr:txBody>
    </xdr:sp>
    <xdr:clientData/>
  </xdr:twoCellAnchor>
  <xdr:twoCellAnchor>
    <xdr:from>
      <xdr:col>6</xdr:col>
      <xdr:colOff>28575</xdr:colOff>
      <xdr:row>20</xdr:row>
      <xdr:rowOff>57150</xdr:rowOff>
    </xdr:from>
    <xdr:to>
      <xdr:col>7</xdr:col>
      <xdr:colOff>285750</xdr:colOff>
      <xdr:row>22</xdr:row>
      <xdr:rowOff>0</xdr:rowOff>
    </xdr:to>
    <xdr:sp macro="" textlink="">
      <xdr:nvSpPr>
        <xdr:cNvPr id="79" name="TextBox 78">
          <a:extLst>
            <a:ext uri="{FF2B5EF4-FFF2-40B4-BE49-F238E27FC236}">
              <a16:creationId xmlns:a16="http://schemas.microsoft.com/office/drawing/2014/main" id="{68C2CFD3-5BD5-48A8-8721-8427C81FBAD1}"/>
            </a:ext>
          </a:extLst>
        </xdr:cNvPr>
        <xdr:cNvSpPr txBox="1"/>
      </xdr:nvSpPr>
      <xdr:spPr>
        <a:xfrm>
          <a:off x="3686175" y="3676650"/>
          <a:ext cx="8667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chemeClr val="bg1"/>
              </a:solidFill>
              <a:effectLst/>
              <a:latin typeface="+mn-lt"/>
              <a:ea typeface="+mn-ea"/>
              <a:cs typeface="+mn-cs"/>
            </a:rPr>
            <a:t>Python</a:t>
          </a:r>
          <a:r>
            <a:rPr lang="en-US" sz="1200">
              <a:solidFill>
                <a:schemeClr val="bg1"/>
              </a:solidFill>
            </a:rPr>
            <a:t> </a:t>
          </a:r>
          <a:endParaRPr lang="en-US" sz="1200" b="0">
            <a:solidFill>
              <a:schemeClr val="bg1"/>
            </a:solidFill>
            <a:latin typeface="Kulim Park"/>
            <a:ea typeface="+mn-ea"/>
            <a:cs typeface="+mn-cs"/>
          </a:endParaRPr>
        </a:p>
      </xdr:txBody>
    </xdr:sp>
    <xdr:clientData/>
  </xdr:twoCellAnchor>
  <xdr:twoCellAnchor>
    <xdr:from>
      <xdr:col>5</xdr:col>
      <xdr:colOff>561975</xdr:colOff>
      <xdr:row>13</xdr:row>
      <xdr:rowOff>25399</xdr:rowOff>
    </xdr:from>
    <xdr:to>
      <xdr:col>7</xdr:col>
      <xdr:colOff>533400</xdr:colOff>
      <xdr:row>14</xdr:row>
      <xdr:rowOff>158749</xdr:rowOff>
    </xdr:to>
    <xdr:sp macro="" textlink="">
      <xdr:nvSpPr>
        <xdr:cNvPr id="86" name="TextBox 85">
          <a:extLst>
            <a:ext uri="{FF2B5EF4-FFF2-40B4-BE49-F238E27FC236}">
              <a16:creationId xmlns:a16="http://schemas.microsoft.com/office/drawing/2014/main" id="{005A64DE-EE03-4177-8C3F-8C6755429F32}"/>
            </a:ext>
          </a:extLst>
        </xdr:cNvPr>
        <xdr:cNvSpPr txBox="1"/>
      </xdr:nvSpPr>
      <xdr:spPr>
        <a:xfrm>
          <a:off x="3609975" y="2378074"/>
          <a:ext cx="11906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200" b="0" i="0" u="none" strike="noStrike">
              <a:solidFill>
                <a:schemeClr val="bg1"/>
              </a:solidFill>
              <a:effectLst/>
              <a:latin typeface="Kulim Park"/>
              <a:ea typeface="+mn-ea"/>
              <a:cs typeface="+mn-cs"/>
            </a:rPr>
            <a:t>Communication</a:t>
          </a:r>
          <a:r>
            <a:rPr lang="en-US" sz="1200">
              <a:solidFill>
                <a:schemeClr val="bg1"/>
              </a:solidFill>
              <a:latin typeface="Kulim Park"/>
            </a:rPr>
            <a:t> </a:t>
          </a:r>
          <a:endParaRPr lang="en-US" sz="1200" b="0">
            <a:solidFill>
              <a:schemeClr val="bg1"/>
            </a:solidFill>
            <a:latin typeface="Kulim Park"/>
            <a:ea typeface="+mn-ea"/>
            <a:cs typeface="+mn-cs"/>
          </a:endParaRPr>
        </a:p>
      </xdr:txBody>
    </xdr:sp>
    <xdr:clientData/>
  </xdr:twoCellAnchor>
  <xdr:twoCellAnchor>
    <xdr:from>
      <xdr:col>7</xdr:col>
      <xdr:colOff>219870</xdr:colOff>
      <xdr:row>14</xdr:row>
      <xdr:rowOff>177799</xdr:rowOff>
    </xdr:from>
    <xdr:to>
      <xdr:col>8</xdr:col>
      <xdr:colOff>336904</xdr:colOff>
      <xdr:row>16</xdr:row>
      <xdr:rowOff>130174</xdr:rowOff>
    </xdr:to>
    <xdr:sp macro="" textlink="PivoteTable!T14">
      <xdr:nvSpPr>
        <xdr:cNvPr id="87" name="TextBox 86">
          <a:extLst>
            <a:ext uri="{FF2B5EF4-FFF2-40B4-BE49-F238E27FC236}">
              <a16:creationId xmlns:a16="http://schemas.microsoft.com/office/drawing/2014/main" id="{A14B4543-9A70-470A-B528-B0ECCA1F08C8}"/>
            </a:ext>
          </a:extLst>
        </xdr:cNvPr>
        <xdr:cNvSpPr txBox="1"/>
      </xdr:nvSpPr>
      <xdr:spPr>
        <a:xfrm>
          <a:off x="4487070" y="2711449"/>
          <a:ext cx="726634"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B9EBEC57-355A-42D0-9F28-B910BFBCDFF1}" type="TxLink">
            <a:rPr lang="en-US" sz="1400" b="0" i="0" u="none" strike="noStrike">
              <a:solidFill>
                <a:srgbClr val="F29617"/>
              </a:solidFill>
              <a:effectLst/>
              <a:latin typeface="Kulim Park"/>
              <a:ea typeface="+mn-ea"/>
              <a:cs typeface="+mn-cs"/>
            </a:rPr>
            <a:pPr marL="0" indent="0" algn="r"/>
            <a:t>11</a:t>
          </a:fld>
          <a:endParaRPr lang="en-US" sz="1600" b="0">
            <a:solidFill>
              <a:srgbClr val="F29617"/>
            </a:solidFill>
            <a:latin typeface="Kulim Park"/>
            <a:ea typeface="+mn-ea"/>
            <a:cs typeface="+mn-cs"/>
          </a:endParaRPr>
        </a:p>
      </xdr:txBody>
    </xdr:sp>
    <xdr:clientData/>
  </xdr:twoCellAnchor>
  <xdr:twoCellAnchor>
    <xdr:from>
      <xdr:col>7</xdr:col>
      <xdr:colOff>209550</xdr:colOff>
      <xdr:row>16</xdr:row>
      <xdr:rowOff>146049</xdr:rowOff>
    </xdr:from>
    <xdr:to>
      <xdr:col>8</xdr:col>
      <xdr:colOff>333375</xdr:colOff>
      <xdr:row>18</xdr:row>
      <xdr:rowOff>53974</xdr:rowOff>
    </xdr:to>
    <xdr:sp macro="" textlink="PivoteTable!T15">
      <xdr:nvSpPr>
        <xdr:cNvPr id="88" name="TextBox 87">
          <a:extLst>
            <a:ext uri="{FF2B5EF4-FFF2-40B4-BE49-F238E27FC236}">
              <a16:creationId xmlns:a16="http://schemas.microsoft.com/office/drawing/2014/main" id="{972AD8F5-AEC1-49F2-BB6E-BE79EBA1A405}"/>
            </a:ext>
          </a:extLst>
        </xdr:cNvPr>
        <xdr:cNvSpPr txBox="1"/>
      </xdr:nvSpPr>
      <xdr:spPr>
        <a:xfrm>
          <a:off x="4476750" y="3041649"/>
          <a:ext cx="733425"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B32493F2-B901-4783-A632-ABF9813E93C6}" type="TxLink">
            <a:rPr lang="en-US" sz="1400" b="0" i="0" u="none" strike="noStrike">
              <a:solidFill>
                <a:srgbClr val="F29617"/>
              </a:solidFill>
              <a:effectLst/>
              <a:latin typeface="Kulim Park"/>
              <a:ea typeface="+mn-ea"/>
              <a:cs typeface="+mn-cs"/>
            </a:rPr>
            <a:pPr marL="0" indent="0" algn="r"/>
            <a:t>7</a:t>
          </a:fld>
          <a:endParaRPr lang="en-US" sz="1600" b="0">
            <a:solidFill>
              <a:srgbClr val="F29617"/>
            </a:solidFill>
            <a:latin typeface="Kulim Park"/>
            <a:ea typeface="+mn-ea"/>
            <a:cs typeface="+mn-cs"/>
          </a:endParaRPr>
        </a:p>
      </xdr:txBody>
    </xdr:sp>
    <xdr:clientData/>
  </xdr:twoCellAnchor>
  <xdr:twoCellAnchor>
    <xdr:from>
      <xdr:col>7</xdr:col>
      <xdr:colOff>333375</xdr:colOff>
      <xdr:row>18</xdr:row>
      <xdr:rowOff>126999</xdr:rowOff>
    </xdr:from>
    <xdr:to>
      <xdr:col>8</xdr:col>
      <xdr:colOff>375708</xdr:colOff>
      <xdr:row>20</xdr:row>
      <xdr:rowOff>69849</xdr:rowOff>
    </xdr:to>
    <xdr:sp macro="" textlink="PivoteTable!T16">
      <xdr:nvSpPr>
        <xdr:cNvPr id="89" name="TextBox 88">
          <a:extLst>
            <a:ext uri="{FF2B5EF4-FFF2-40B4-BE49-F238E27FC236}">
              <a16:creationId xmlns:a16="http://schemas.microsoft.com/office/drawing/2014/main" id="{DF0E9AC2-EE97-4CC6-B4F5-3D6FB30D5CCB}"/>
            </a:ext>
          </a:extLst>
        </xdr:cNvPr>
        <xdr:cNvSpPr txBox="1"/>
      </xdr:nvSpPr>
      <xdr:spPr>
        <a:xfrm>
          <a:off x="4600575" y="3384549"/>
          <a:ext cx="651933"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8C1A9AFA-9A84-413B-AA35-EF78C1AE1AE8}" type="TxLink">
            <a:rPr lang="en-US" sz="1400" b="0" i="0" u="none" strike="noStrike">
              <a:solidFill>
                <a:srgbClr val="F29617"/>
              </a:solidFill>
              <a:effectLst/>
              <a:latin typeface="Kulim Park"/>
              <a:ea typeface="+mn-ea"/>
              <a:cs typeface="+mn-cs"/>
            </a:rPr>
            <a:pPr marL="0" indent="0" algn="r"/>
            <a:t>11</a:t>
          </a:fld>
          <a:endParaRPr lang="en-US" sz="1600" b="0">
            <a:solidFill>
              <a:srgbClr val="F29617"/>
            </a:solidFill>
            <a:latin typeface="Kulim Park"/>
            <a:ea typeface="+mn-ea"/>
            <a:cs typeface="+mn-cs"/>
          </a:endParaRPr>
        </a:p>
      </xdr:txBody>
    </xdr:sp>
    <xdr:clientData/>
  </xdr:twoCellAnchor>
  <xdr:twoCellAnchor>
    <xdr:from>
      <xdr:col>7</xdr:col>
      <xdr:colOff>381001</xdr:colOff>
      <xdr:row>20</xdr:row>
      <xdr:rowOff>95250</xdr:rowOff>
    </xdr:from>
    <xdr:to>
      <xdr:col>8</xdr:col>
      <xdr:colOff>314325</xdr:colOff>
      <xdr:row>22</xdr:row>
      <xdr:rowOff>38100</xdr:rowOff>
    </xdr:to>
    <xdr:sp macro="" textlink="PivoteTable!T17">
      <xdr:nvSpPr>
        <xdr:cNvPr id="90" name="TextBox 89">
          <a:extLst>
            <a:ext uri="{FF2B5EF4-FFF2-40B4-BE49-F238E27FC236}">
              <a16:creationId xmlns:a16="http://schemas.microsoft.com/office/drawing/2014/main" id="{3A998ABB-4E2E-41DB-99EE-86AF74219011}"/>
            </a:ext>
          </a:extLst>
        </xdr:cNvPr>
        <xdr:cNvSpPr txBox="1"/>
      </xdr:nvSpPr>
      <xdr:spPr>
        <a:xfrm>
          <a:off x="4648201" y="3714750"/>
          <a:ext cx="54292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E9BDAC64-598B-42A2-8531-C6FF14B1058D}" type="TxLink">
            <a:rPr lang="en-US" sz="1400" b="0" i="0" u="none" strike="noStrike">
              <a:solidFill>
                <a:srgbClr val="F29617"/>
              </a:solidFill>
              <a:effectLst/>
              <a:latin typeface="Kulim Park"/>
              <a:ea typeface="+mn-ea"/>
              <a:cs typeface="+mn-cs"/>
            </a:rPr>
            <a:pPr marL="0" indent="0" algn="r"/>
            <a:t>9</a:t>
          </a:fld>
          <a:endParaRPr lang="en-US" sz="1600" b="0">
            <a:solidFill>
              <a:srgbClr val="F29617"/>
            </a:solidFill>
            <a:latin typeface="Kulim Park"/>
            <a:ea typeface="+mn-ea"/>
            <a:cs typeface="+mn-cs"/>
          </a:endParaRPr>
        </a:p>
      </xdr:txBody>
    </xdr:sp>
    <xdr:clientData/>
  </xdr:twoCellAnchor>
  <xdr:twoCellAnchor>
    <xdr:from>
      <xdr:col>7</xdr:col>
      <xdr:colOff>209550</xdr:colOff>
      <xdr:row>13</xdr:row>
      <xdr:rowOff>44449</xdr:rowOff>
    </xdr:from>
    <xdr:to>
      <xdr:col>8</xdr:col>
      <xdr:colOff>333375</xdr:colOff>
      <xdr:row>14</xdr:row>
      <xdr:rowOff>177799</xdr:rowOff>
    </xdr:to>
    <xdr:sp macro="" textlink="PivoteTable!T13">
      <xdr:nvSpPr>
        <xdr:cNvPr id="91" name="TextBox 90">
          <a:extLst>
            <a:ext uri="{FF2B5EF4-FFF2-40B4-BE49-F238E27FC236}">
              <a16:creationId xmlns:a16="http://schemas.microsoft.com/office/drawing/2014/main" id="{C4A07323-2BE1-4ADF-80B3-E4C6035337D9}"/>
            </a:ext>
          </a:extLst>
        </xdr:cNvPr>
        <xdr:cNvSpPr txBox="1"/>
      </xdr:nvSpPr>
      <xdr:spPr>
        <a:xfrm>
          <a:off x="4476750" y="2397124"/>
          <a:ext cx="7334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3C8CEC09-3C3C-441C-8E08-1DABAB1A65E0}" type="TxLink">
            <a:rPr lang="en-US" sz="1400" b="0" i="0" u="none" strike="noStrike">
              <a:solidFill>
                <a:srgbClr val="F29617"/>
              </a:solidFill>
              <a:effectLst/>
              <a:latin typeface="Kulim Park"/>
              <a:ea typeface="+mn-ea"/>
              <a:cs typeface="+mn-cs"/>
            </a:rPr>
            <a:pPr marL="0" indent="0" algn="r"/>
            <a:t>12</a:t>
          </a:fld>
          <a:endParaRPr lang="en-US" sz="1600" b="0">
            <a:solidFill>
              <a:srgbClr val="F29617"/>
            </a:solidFill>
            <a:latin typeface="Kulim Park"/>
            <a:ea typeface="+mn-ea"/>
            <a:cs typeface="+mn-cs"/>
          </a:endParaRPr>
        </a:p>
      </xdr:txBody>
    </xdr:sp>
    <xdr:clientData/>
  </xdr:twoCellAnchor>
  <xdr:twoCellAnchor>
    <xdr:from>
      <xdr:col>5</xdr:col>
      <xdr:colOff>561975</xdr:colOff>
      <xdr:row>9</xdr:row>
      <xdr:rowOff>161925</xdr:rowOff>
    </xdr:from>
    <xdr:to>
      <xdr:col>8</xdr:col>
      <xdr:colOff>28574</xdr:colOff>
      <xdr:row>13</xdr:row>
      <xdr:rowOff>57150</xdr:rowOff>
    </xdr:to>
    <xdr:sp macro="" textlink="">
      <xdr:nvSpPr>
        <xdr:cNvPr id="96" name="Rectangle 95">
          <a:extLst>
            <a:ext uri="{FF2B5EF4-FFF2-40B4-BE49-F238E27FC236}">
              <a16:creationId xmlns:a16="http://schemas.microsoft.com/office/drawing/2014/main" id="{3EC83A39-8637-48E1-ABB5-887253F5B2B4}"/>
            </a:ext>
          </a:extLst>
        </xdr:cNvPr>
        <xdr:cNvSpPr/>
      </xdr:nvSpPr>
      <xdr:spPr>
        <a:xfrm>
          <a:off x="3609975" y="1790700"/>
          <a:ext cx="1295399" cy="619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F29617"/>
              </a:solidFill>
            </a:rPr>
            <a:t>Skills</a:t>
          </a:r>
          <a:r>
            <a:rPr lang="en-US" sz="1600" b="1">
              <a:solidFill>
                <a:srgbClr val="FFC000"/>
              </a:solidFill>
            </a:rPr>
            <a:t> </a:t>
          </a:r>
        </a:p>
        <a:p>
          <a:pPr algn="l"/>
          <a:r>
            <a:rPr lang="en-US" sz="1600" b="1">
              <a:solidFill>
                <a:srgbClr val="F29617"/>
              </a:solidFill>
            </a:rPr>
            <a:t>BreakDown</a:t>
          </a:r>
        </a:p>
      </xdr:txBody>
    </xdr:sp>
    <xdr:clientData/>
  </xdr:twoCellAnchor>
  <xdr:twoCellAnchor editAs="oneCell">
    <xdr:from>
      <xdr:col>6</xdr:col>
      <xdr:colOff>400050</xdr:colOff>
      <xdr:row>6</xdr:row>
      <xdr:rowOff>66675</xdr:rowOff>
    </xdr:from>
    <xdr:to>
      <xdr:col>8</xdr:col>
      <xdr:colOff>238125</xdr:colOff>
      <xdr:row>10</xdr:row>
      <xdr:rowOff>57150</xdr:rowOff>
    </xdr:to>
    <xdr:pic>
      <xdr:nvPicPr>
        <xdr:cNvPr id="23" name="Picture 22">
          <a:extLst>
            <a:ext uri="{FF2B5EF4-FFF2-40B4-BE49-F238E27FC236}">
              <a16:creationId xmlns:a16="http://schemas.microsoft.com/office/drawing/2014/main" id="{E165F985-A7F3-4DAC-B894-17D017595D2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057650" y="1152525"/>
          <a:ext cx="1057275" cy="714375"/>
        </a:xfrm>
        <a:prstGeom prst="rect">
          <a:avLst/>
        </a:prstGeom>
      </xdr:spPr>
    </xdr:pic>
    <xdr:clientData/>
  </xdr:twoCellAnchor>
  <xdr:twoCellAnchor>
    <xdr:from>
      <xdr:col>8</xdr:col>
      <xdr:colOff>600077</xdr:colOff>
      <xdr:row>8</xdr:row>
      <xdr:rowOff>114300</xdr:rowOff>
    </xdr:from>
    <xdr:to>
      <xdr:col>10</xdr:col>
      <xdr:colOff>514350</xdr:colOff>
      <xdr:row>10</xdr:row>
      <xdr:rowOff>171450</xdr:rowOff>
    </xdr:to>
    <xdr:sp macro="" textlink="PivoteTable!J23">
      <xdr:nvSpPr>
        <xdr:cNvPr id="97" name="Rectangle 96">
          <a:extLst>
            <a:ext uri="{FF2B5EF4-FFF2-40B4-BE49-F238E27FC236}">
              <a16:creationId xmlns:a16="http://schemas.microsoft.com/office/drawing/2014/main" id="{40D8576C-EEE4-4BCB-B705-1F454B0CF9CD}"/>
            </a:ext>
          </a:extLst>
        </xdr:cNvPr>
        <xdr:cNvSpPr/>
      </xdr:nvSpPr>
      <xdr:spPr>
        <a:xfrm>
          <a:off x="5476877" y="1562100"/>
          <a:ext cx="1133473" cy="4191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5B3C633-17D0-4398-857B-2AA87AA56D35}" type="TxLink">
            <a:rPr lang="en-US" sz="3600" b="0" i="0" u="none" strike="noStrike">
              <a:solidFill>
                <a:schemeClr val="bg1">
                  <a:lumMod val="95000"/>
                </a:schemeClr>
              </a:solidFill>
              <a:latin typeface="Kulim Park"/>
            </a:rPr>
            <a:pPr algn="ctr"/>
            <a:t>50</a:t>
          </a:fld>
          <a:endParaRPr lang="en-US" sz="9600" b="1">
            <a:solidFill>
              <a:schemeClr val="bg1">
                <a:lumMod val="95000"/>
              </a:schemeClr>
            </a:solidFill>
          </a:endParaRPr>
        </a:p>
      </xdr:txBody>
    </xdr:sp>
    <xdr:clientData/>
  </xdr:twoCellAnchor>
  <xdr:twoCellAnchor>
    <xdr:from>
      <xdr:col>8</xdr:col>
      <xdr:colOff>600076</xdr:colOff>
      <xdr:row>10</xdr:row>
      <xdr:rowOff>133351</xdr:rowOff>
    </xdr:from>
    <xdr:to>
      <xdr:col>11</xdr:col>
      <xdr:colOff>314325</xdr:colOff>
      <xdr:row>12</xdr:row>
      <xdr:rowOff>57151</xdr:rowOff>
    </xdr:to>
    <xdr:sp macro="" textlink="">
      <xdr:nvSpPr>
        <xdr:cNvPr id="98" name="Rectangle 97">
          <a:extLst>
            <a:ext uri="{FF2B5EF4-FFF2-40B4-BE49-F238E27FC236}">
              <a16:creationId xmlns:a16="http://schemas.microsoft.com/office/drawing/2014/main" id="{FD58E58E-886E-4CFF-87F0-4AF42F179E70}"/>
            </a:ext>
          </a:extLst>
        </xdr:cNvPr>
        <xdr:cNvSpPr/>
      </xdr:nvSpPr>
      <xdr:spPr>
        <a:xfrm>
          <a:off x="5476876" y="1943101"/>
          <a:ext cx="1543049"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lumMod val="85000"/>
                </a:schemeClr>
              </a:solidFill>
            </a:rPr>
            <a:t>   Total</a:t>
          </a:r>
          <a:r>
            <a:rPr lang="en-US" sz="1400" b="1" baseline="0">
              <a:solidFill>
                <a:schemeClr val="bg1">
                  <a:lumMod val="85000"/>
                </a:schemeClr>
              </a:solidFill>
            </a:rPr>
            <a:t> Employees</a:t>
          </a:r>
          <a:endParaRPr lang="en-US" sz="1400" b="1">
            <a:solidFill>
              <a:schemeClr val="bg1">
                <a:lumMod val="85000"/>
              </a:schemeClr>
            </a:solidFill>
          </a:endParaRPr>
        </a:p>
        <a:p>
          <a:pPr algn="l"/>
          <a:endParaRPr lang="en-US" sz="1400" b="1">
            <a:solidFill>
              <a:srgbClr val="FFC000"/>
            </a:solidFill>
          </a:endParaRPr>
        </a:p>
      </xdr:txBody>
    </xdr:sp>
    <xdr:clientData/>
  </xdr:twoCellAnchor>
  <xdr:twoCellAnchor>
    <xdr:from>
      <xdr:col>8</xdr:col>
      <xdr:colOff>600076</xdr:colOff>
      <xdr:row>7</xdr:row>
      <xdr:rowOff>9526</xdr:rowOff>
    </xdr:from>
    <xdr:to>
      <xdr:col>12</xdr:col>
      <xdr:colOff>47625</xdr:colOff>
      <xdr:row>8</xdr:row>
      <xdr:rowOff>114301</xdr:rowOff>
    </xdr:to>
    <xdr:sp macro="" textlink="">
      <xdr:nvSpPr>
        <xdr:cNvPr id="100" name="Rectangle 99">
          <a:extLst>
            <a:ext uri="{FF2B5EF4-FFF2-40B4-BE49-F238E27FC236}">
              <a16:creationId xmlns:a16="http://schemas.microsoft.com/office/drawing/2014/main" id="{96F01986-0BF9-4AF0-953F-ACDBEBE74D16}"/>
            </a:ext>
          </a:extLst>
        </xdr:cNvPr>
        <xdr:cNvSpPr/>
      </xdr:nvSpPr>
      <xdr:spPr>
        <a:xfrm>
          <a:off x="5476876" y="1276351"/>
          <a:ext cx="1885949"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rgbClr val="F29617"/>
              </a:solidFill>
            </a:rPr>
            <a:t>   Employees Number</a:t>
          </a:r>
          <a:endParaRPr lang="en-US" sz="1400" b="1">
            <a:solidFill>
              <a:srgbClr val="F29617"/>
            </a:solidFill>
          </a:endParaRPr>
        </a:p>
        <a:p>
          <a:pPr algn="l"/>
          <a:endParaRPr lang="en-US" sz="1400" b="1">
            <a:solidFill>
              <a:srgbClr val="F29617"/>
            </a:solidFill>
          </a:endParaRPr>
        </a:p>
      </xdr:txBody>
    </xdr:sp>
    <xdr:clientData/>
  </xdr:twoCellAnchor>
  <xdr:twoCellAnchor editAs="oneCell">
    <xdr:from>
      <xdr:col>11</xdr:col>
      <xdr:colOff>371474</xdr:colOff>
      <xdr:row>7</xdr:row>
      <xdr:rowOff>114300</xdr:rowOff>
    </xdr:from>
    <xdr:to>
      <xdr:col>12</xdr:col>
      <xdr:colOff>552449</xdr:colOff>
      <xdr:row>11</xdr:row>
      <xdr:rowOff>95250</xdr:rowOff>
    </xdr:to>
    <xdr:pic>
      <xdr:nvPicPr>
        <xdr:cNvPr id="31" name="Picture 30">
          <a:extLst>
            <a:ext uri="{FF2B5EF4-FFF2-40B4-BE49-F238E27FC236}">
              <a16:creationId xmlns:a16="http://schemas.microsoft.com/office/drawing/2014/main" id="{6412976E-46BB-402B-95CC-A9380D026EC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077074" y="1381125"/>
          <a:ext cx="790575" cy="704850"/>
        </a:xfrm>
        <a:prstGeom prst="rect">
          <a:avLst/>
        </a:prstGeom>
      </xdr:spPr>
    </xdr:pic>
    <xdr:clientData/>
  </xdr:twoCellAnchor>
  <xdr:twoCellAnchor>
    <xdr:from>
      <xdr:col>9</xdr:col>
      <xdr:colOff>19051</xdr:colOff>
      <xdr:row>13</xdr:row>
      <xdr:rowOff>123826</xdr:rowOff>
    </xdr:from>
    <xdr:to>
      <xdr:col>10</xdr:col>
      <xdr:colOff>447675</xdr:colOff>
      <xdr:row>15</xdr:row>
      <xdr:rowOff>47626</xdr:rowOff>
    </xdr:to>
    <xdr:sp macro="" textlink="">
      <xdr:nvSpPr>
        <xdr:cNvPr id="101" name="Rectangle 100">
          <a:extLst>
            <a:ext uri="{FF2B5EF4-FFF2-40B4-BE49-F238E27FC236}">
              <a16:creationId xmlns:a16="http://schemas.microsoft.com/office/drawing/2014/main" id="{81537410-B4BB-4C73-9A62-6A4ECE3090C6}"/>
            </a:ext>
          </a:extLst>
        </xdr:cNvPr>
        <xdr:cNvSpPr/>
      </xdr:nvSpPr>
      <xdr:spPr>
        <a:xfrm>
          <a:off x="5505451" y="2476501"/>
          <a:ext cx="1038224"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F29617"/>
              </a:solidFill>
            </a:rPr>
            <a:t>Males</a:t>
          </a:r>
        </a:p>
        <a:p>
          <a:pPr algn="l"/>
          <a:endParaRPr lang="en-US" sz="1400" b="1">
            <a:solidFill>
              <a:srgbClr val="FFC000"/>
            </a:solidFill>
          </a:endParaRPr>
        </a:p>
      </xdr:txBody>
    </xdr:sp>
    <xdr:clientData/>
  </xdr:twoCellAnchor>
  <xdr:twoCellAnchor>
    <xdr:from>
      <xdr:col>11</xdr:col>
      <xdr:colOff>85725</xdr:colOff>
      <xdr:row>13</xdr:row>
      <xdr:rowOff>142876</xdr:rowOff>
    </xdr:from>
    <xdr:to>
      <xdr:col>12</xdr:col>
      <xdr:colOff>371475</xdr:colOff>
      <xdr:row>15</xdr:row>
      <xdr:rowOff>66676</xdr:rowOff>
    </xdr:to>
    <xdr:sp macro="" textlink="">
      <xdr:nvSpPr>
        <xdr:cNvPr id="103" name="Rectangle 102">
          <a:extLst>
            <a:ext uri="{FF2B5EF4-FFF2-40B4-BE49-F238E27FC236}">
              <a16:creationId xmlns:a16="http://schemas.microsoft.com/office/drawing/2014/main" id="{7F9EBD7E-AAB6-4DB8-B4D4-9521E42741A4}"/>
            </a:ext>
          </a:extLst>
        </xdr:cNvPr>
        <xdr:cNvSpPr/>
      </xdr:nvSpPr>
      <xdr:spPr>
        <a:xfrm>
          <a:off x="6791325" y="2495551"/>
          <a:ext cx="895350"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F29617"/>
              </a:solidFill>
            </a:rPr>
            <a:t>Females</a:t>
          </a:r>
        </a:p>
      </xdr:txBody>
    </xdr:sp>
    <xdr:clientData/>
  </xdr:twoCellAnchor>
  <xdr:twoCellAnchor>
    <xdr:from>
      <xdr:col>11</xdr:col>
      <xdr:colOff>28575</xdr:colOff>
      <xdr:row>14</xdr:row>
      <xdr:rowOff>142876</xdr:rowOff>
    </xdr:from>
    <xdr:to>
      <xdr:col>12</xdr:col>
      <xdr:colOff>390525</xdr:colOff>
      <xdr:row>20</xdr:row>
      <xdr:rowOff>38100</xdr:rowOff>
    </xdr:to>
    <xdr:graphicFrame macro="">
      <xdr:nvGraphicFramePr>
        <xdr:cNvPr id="105" name="Chart 104">
          <a:extLst>
            <a:ext uri="{FF2B5EF4-FFF2-40B4-BE49-F238E27FC236}">
              <a16:creationId xmlns:a16="http://schemas.microsoft.com/office/drawing/2014/main" id="{682AF0B0-2946-43DA-8E9F-285F31737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19050</xdr:colOff>
      <xdr:row>14</xdr:row>
      <xdr:rowOff>123825</xdr:rowOff>
    </xdr:from>
    <xdr:to>
      <xdr:col>10</xdr:col>
      <xdr:colOff>419101</xdr:colOff>
      <xdr:row>20</xdr:row>
      <xdr:rowOff>28575</xdr:rowOff>
    </xdr:to>
    <xdr:graphicFrame macro="">
      <xdr:nvGraphicFramePr>
        <xdr:cNvPr id="106" name="Chart 105">
          <a:extLst>
            <a:ext uri="{FF2B5EF4-FFF2-40B4-BE49-F238E27FC236}">
              <a16:creationId xmlns:a16="http://schemas.microsoft.com/office/drawing/2014/main" id="{5D5401E3-BB3E-4574-8FEB-B291902F0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209551</xdr:colOff>
      <xdr:row>16</xdr:row>
      <xdr:rowOff>85727</xdr:rowOff>
    </xdr:from>
    <xdr:to>
      <xdr:col>10</xdr:col>
      <xdr:colOff>142875</xdr:colOff>
      <xdr:row>18</xdr:row>
      <xdr:rowOff>9527</xdr:rowOff>
    </xdr:to>
    <xdr:sp macro="" textlink="PivoteTable!#REF!">
      <xdr:nvSpPr>
        <xdr:cNvPr id="117" name="Rectangle 116">
          <a:extLst>
            <a:ext uri="{FF2B5EF4-FFF2-40B4-BE49-F238E27FC236}">
              <a16:creationId xmlns:a16="http://schemas.microsoft.com/office/drawing/2014/main" id="{BD80B8B4-241B-421B-BC90-6633FC5883D0}"/>
            </a:ext>
          </a:extLst>
        </xdr:cNvPr>
        <xdr:cNvSpPr/>
      </xdr:nvSpPr>
      <xdr:spPr>
        <a:xfrm>
          <a:off x="5695951" y="2981327"/>
          <a:ext cx="542924"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0405AEF-8A25-4318-8B53-E1C7E26C6C11}" type="TxLink">
            <a:rPr lang="en-US" sz="1600" b="1" i="0" u="none" strike="noStrike">
              <a:solidFill>
                <a:schemeClr val="bg1">
                  <a:lumMod val="85000"/>
                </a:schemeClr>
              </a:solidFill>
              <a:latin typeface="Kulim Park"/>
            </a:rPr>
            <a:pPr algn="l"/>
            <a:t> </a:t>
          </a:fld>
          <a:endParaRPr lang="en-US" sz="2400" b="1">
            <a:solidFill>
              <a:schemeClr val="bg1">
                <a:lumMod val="85000"/>
              </a:schemeClr>
            </a:solidFill>
          </a:endParaRPr>
        </a:p>
      </xdr:txBody>
    </xdr:sp>
    <xdr:clientData/>
  </xdr:twoCellAnchor>
  <xdr:twoCellAnchor>
    <xdr:from>
      <xdr:col>11</xdr:col>
      <xdr:colOff>238126</xdr:colOff>
      <xdr:row>16</xdr:row>
      <xdr:rowOff>95252</xdr:rowOff>
    </xdr:from>
    <xdr:to>
      <xdr:col>12</xdr:col>
      <xdr:colOff>171450</xdr:colOff>
      <xdr:row>18</xdr:row>
      <xdr:rowOff>19052</xdr:rowOff>
    </xdr:to>
    <xdr:sp macro="" textlink="PivoteTable!K21">
      <xdr:nvSpPr>
        <xdr:cNvPr id="120" name="Rectangle 119">
          <a:extLst>
            <a:ext uri="{FF2B5EF4-FFF2-40B4-BE49-F238E27FC236}">
              <a16:creationId xmlns:a16="http://schemas.microsoft.com/office/drawing/2014/main" id="{7DBB1706-FD37-44AB-880C-087658E20053}"/>
            </a:ext>
          </a:extLst>
        </xdr:cNvPr>
        <xdr:cNvSpPr/>
      </xdr:nvSpPr>
      <xdr:spPr>
        <a:xfrm>
          <a:off x="6943726" y="2990852"/>
          <a:ext cx="542924"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2D90E56-0C20-40D5-8F04-DEABC9B815D3}" type="TxLink">
            <a:rPr lang="en-US" sz="1600" b="1" i="0" u="none" strike="noStrike">
              <a:solidFill>
                <a:schemeClr val="bg1">
                  <a:lumMod val="85000"/>
                </a:schemeClr>
              </a:solidFill>
              <a:latin typeface="Kulim Park"/>
            </a:rPr>
            <a:pPr algn="l"/>
            <a:t>52%</a:t>
          </a:fld>
          <a:endParaRPr lang="en-US" sz="2800" b="1">
            <a:solidFill>
              <a:schemeClr val="bg1">
                <a:lumMod val="85000"/>
              </a:schemeClr>
            </a:solidFill>
          </a:endParaRPr>
        </a:p>
      </xdr:txBody>
    </xdr:sp>
    <xdr:clientData/>
  </xdr:twoCellAnchor>
  <xdr:twoCellAnchor>
    <xdr:from>
      <xdr:col>13</xdr:col>
      <xdr:colOff>303192</xdr:colOff>
      <xdr:row>30</xdr:row>
      <xdr:rowOff>9525</xdr:rowOff>
    </xdr:from>
    <xdr:to>
      <xdr:col>14</xdr:col>
      <xdr:colOff>561975</xdr:colOff>
      <xdr:row>31</xdr:row>
      <xdr:rowOff>133350</xdr:rowOff>
    </xdr:to>
    <xdr:sp macro="" textlink="">
      <xdr:nvSpPr>
        <xdr:cNvPr id="123" name="TextBox 122">
          <a:extLst>
            <a:ext uri="{FF2B5EF4-FFF2-40B4-BE49-F238E27FC236}">
              <a16:creationId xmlns:a16="http://schemas.microsoft.com/office/drawing/2014/main" id="{A866CF14-D1DF-4F87-A6D6-EDF2D6863671}"/>
            </a:ext>
          </a:extLst>
        </xdr:cNvPr>
        <xdr:cNvSpPr txBox="1"/>
      </xdr:nvSpPr>
      <xdr:spPr>
        <a:xfrm>
          <a:off x="8227992" y="5438775"/>
          <a:ext cx="868383"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a:solidFill>
                <a:schemeClr val="bg1"/>
              </a:solidFill>
              <a:latin typeface="Kulim Park"/>
              <a:ea typeface="+mn-ea"/>
              <a:cs typeface="+mn-cs"/>
            </a:rPr>
            <a:t>Analysts</a:t>
          </a:r>
        </a:p>
      </xdr:txBody>
    </xdr:sp>
    <xdr:clientData/>
  </xdr:twoCellAnchor>
  <xdr:twoCellAnchor>
    <xdr:from>
      <xdr:col>15</xdr:col>
      <xdr:colOff>180975</xdr:colOff>
      <xdr:row>31</xdr:row>
      <xdr:rowOff>152400</xdr:rowOff>
    </xdr:from>
    <xdr:to>
      <xdr:col>17</xdr:col>
      <xdr:colOff>41775</xdr:colOff>
      <xdr:row>33</xdr:row>
      <xdr:rowOff>42450</xdr:rowOff>
    </xdr:to>
    <xdr:sp macro="" textlink="PivoteTable!F11">
      <xdr:nvSpPr>
        <xdr:cNvPr id="126" name="Rectangle: Rounded Corners 125">
          <a:extLst>
            <a:ext uri="{FF2B5EF4-FFF2-40B4-BE49-F238E27FC236}">
              <a16:creationId xmlns:a16="http://schemas.microsoft.com/office/drawing/2014/main" id="{395F5B01-6EB7-4ADE-ADA5-97FC3403180D}"/>
            </a:ext>
          </a:extLst>
        </xdr:cNvPr>
        <xdr:cNvSpPr/>
      </xdr:nvSpPr>
      <xdr:spPr>
        <a:xfrm>
          <a:off x="9324975" y="5762625"/>
          <a:ext cx="1080000" cy="252000"/>
        </a:xfrm>
        <a:prstGeom prst="roundRect">
          <a:avLst>
            <a:gd name="adj" fmla="val 24727"/>
          </a:avLst>
        </a:prstGeom>
        <a:solidFill>
          <a:srgbClr val="1F1F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a:solidFill>
                <a:srgbClr val="1F1F1F"/>
              </a:solidFill>
            </a:ln>
            <a:solidFill>
              <a:schemeClr val="bg1"/>
            </a:solidFill>
          </a:endParaRPr>
        </a:p>
      </xdr:txBody>
    </xdr:sp>
    <xdr:clientData/>
  </xdr:twoCellAnchor>
  <xdr:twoCellAnchor>
    <xdr:from>
      <xdr:col>15</xdr:col>
      <xdr:colOff>167836</xdr:colOff>
      <xdr:row>31</xdr:row>
      <xdr:rowOff>142875</xdr:rowOff>
    </xdr:from>
    <xdr:to>
      <xdr:col>16</xdr:col>
      <xdr:colOff>426619</xdr:colOff>
      <xdr:row>33</xdr:row>
      <xdr:rowOff>85725</xdr:rowOff>
    </xdr:to>
    <xdr:sp macro="" textlink="PivoteTable!F13">
      <xdr:nvSpPr>
        <xdr:cNvPr id="127" name="TextBox 126">
          <a:extLst>
            <a:ext uri="{FF2B5EF4-FFF2-40B4-BE49-F238E27FC236}">
              <a16:creationId xmlns:a16="http://schemas.microsoft.com/office/drawing/2014/main" id="{FF820D1F-37D6-449C-9CCC-4E5245BDA611}"/>
            </a:ext>
          </a:extLst>
        </xdr:cNvPr>
        <xdr:cNvSpPr txBox="1"/>
      </xdr:nvSpPr>
      <xdr:spPr>
        <a:xfrm>
          <a:off x="9311836" y="5753100"/>
          <a:ext cx="868383"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5D459B8-39E9-4DAA-BF81-CE21BBFC79AA}" type="TxLink">
            <a:rPr lang="en-US" sz="1400" b="0" i="0" u="none" strike="noStrike">
              <a:solidFill>
                <a:schemeClr val="bg1"/>
              </a:solidFill>
              <a:latin typeface="Kulim Park"/>
              <a:ea typeface="Calibri"/>
              <a:cs typeface="Calibri"/>
            </a:rPr>
            <a:pPr marL="0" indent="0" algn="ctr"/>
            <a:t>613842</a:t>
          </a:fld>
          <a:endParaRPr lang="en-US" sz="2400">
            <a:solidFill>
              <a:schemeClr val="bg1"/>
            </a:solidFill>
            <a:latin typeface="Kulim Park"/>
            <a:ea typeface="+mn-ea"/>
            <a:cs typeface="+mn-cs"/>
          </a:endParaRPr>
        </a:p>
      </xdr:txBody>
    </xdr:sp>
    <xdr:clientData/>
  </xdr:twoCellAnchor>
  <xdr:twoCellAnchor>
    <xdr:from>
      <xdr:col>15</xdr:col>
      <xdr:colOff>209550</xdr:colOff>
      <xdr:row>24</xdr:row>
      <xdr:rowOff>176801</xdr:rowOff>
    </xdr:from>
    <xdr:to>
      <xdr:col>16</xdr:col>
      <xdr:colOff>377156</xdr:colOff>
      <xdr:row>26</xdr:row>
      <xdr:rowOff>84726</xdr:rowOff>
    </xdr:to>
    <xdr:sp macro="" textlink="PivoteTable!F16">
      <xdr:nvSpPr>
        <xdr:cNvPr id="128" name="TextBox 127">
          <a:extLst>
            <a:ext uri="{FF2B5EF4-FFF2-40B4-BE49-F238E27FC236}">
              <a16:creationId xmlns:a16="http://schemas.microsoft.com/office/drawing/2014/main" id="{1EC2228C-B4DE-4B17-B112-EE31C41A8147}"/>
            </a:ext>
          </a:extLst>
        </xdr:cNvPr>
        <xdr:cNvSpPr txBox="1"/>
      </xdr:nvSpPr>
      <xdr:spPr>
        <a:xfrm>
          <a:off x="9353550" y="4520201"/>
          <a:ext cx="777206"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B0BFEBC-D3C9-404E-9E73-AA8E1D4876CE}" type="TxLink">
            <a:rPr lang="en-US" sz="1400" b="0" i="0" u="none" strike="noStrike">
              <a:solidFill>
                <a:schemeClr val="bg1"/>
              </a:solidFill>
              <a:latin typeface="Kulim Park"/>
              <a:ea typeface="Calibri"/>
              <a:cs typeface="Calibri"/>
            </a:rPr>
            <a:pPr marL="0" indent="0" algn="ctr"/>
            <a:t>731170</a:t>
          </a:fld>
          <a:endParaRPr lang="en-US" sz="1800">
            <a:solidFill>
              <a:schemeClr val="bg1"/>
            </a:solidFill>
            <a:latin typeface="Kulim Park"/>
            <a:ea typeface="+mn-ea"/>
            <a:cs typeface="+mn-cs"/>
          </a:endParaRPr>
        </a:p>
      </xdr:txBody>
    </xdr:sp>
    <xdr:clientData/>
  </xdr:twoCellAnchor>
  <xdr:twoCellAnchor>
    <xdr:from>
      <xdr:col>13</xdr:col>
      <xdr:colOff>171449</xdr:colOff>
      <xdr:row>8</xdr:row>
      <xdr:rowOff>142874</xdr:rowOff>
    </xdr:from>
    <xdr:to>
      <xdr:col>17</xdr:col>
      <xdr:colOff>238124</xdr:colOff>
      <xdr:row>18</xdr:row>
      <xdr:rowOff>142873</xdr:rowOff>
    </xdr:to>
    <xdr:graphicFrame macro="">
      <xdr:nvGraphicFramePr>
        <xdr:cNvPr id="129" name="Chart 128">
          <a:extLst>
            <a:ext uri="{FF2B5EF4-FFF2-40B4-BE49-F238E27FC236}">
              <a16:creationId xmlns:a16="http://schemas.microsoft.com/office/drawing/2014/main" id="{6D22DE45-D06C-428F-BA47-095F063DE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47625</xdr:colOff>
      <xdr:row>16</xdr:row>
      <xdr:rowOff>104775</xdr:rowOff>
    </xdr:from>
    <xdr:to>
      <xdr:col>16</xdr:col>
      <xdr:colOff>257175</xdr:colOff>
      <xdr:row>18</xdr:row>
      <xdr:rowOff>47625</xdr:rowOff>
    </xdr:to>
    <xdr:sp macro="" textlink="">
      <xdr:nvSpPr>
        <xdr:cNvPr id="92" name="TextBox 91">
          <a:extLst>
            <a:ext uri="{FF2B5EF4-FFF2-40B4-BE49-F238E27FC236}">
              <a16:creationId xmlns:a16="http://schemas.microsoft.com/office/drawing/2014/main" id="{281853A4-2CF1-47FE-B079-5BFA6DBA5857}"/>
            </a:ext>
          </a:extLst>
        </xdr:cNvPr>
        <xdr:cNvSpPr txBox="1"/>
      </xdr:nvSpPr>
      <xdr:spPr>
        <a:xfrm>
          <a:off x="9191625" y="3000375"/>
          <a:ext cx="8191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a:solidFill>
                <a:schemeClr val="bg1"/>
              </a:solidFill>
              <a:latin typeface="Kulim Park"/>
              <a:ea typeface="+mn-ea"/>
              <a:cs typeface="+mn-cs"/>
            </a:rPr>
            <a:t>Developer</a:t>
          </a:r>
          <a:endParaRPr lang="en-US" sz="1200" b="0">
            <a:solidFill>
              <a:schemeClr val="bg1"/>
            </a:solidFill>
            <a:latin typeface="Kulim Park"/>
            <a:ea typeface="+mn-ea"/>
            <a:cs typeface="+mn-cs"/>
          </a:endParaRPr>
        </a:p>
      </xdr:txBody>
    </xdr:sp>
    <xdr:clientData/>
  </xdr:twoCellAnchor>
  <xdr:twoCellAnchor>
    <xdr:from>
      <xdr:col>16</xdr:col>
      <xdr:colOff>285750</xdr:colOff>
      <xdr:row>16</xdr:row>
      <xdr:rowOff>95250</xdr:rowOff>
    </xdr:from>
    <xdr:to>
      <xdr:col>17</xdr:col>
      <xdr:colOff>295274</xdr:colOff>
      <xdr:row>18</xdr:row>
      <xdr:rowOff>38100</xdr:rowOff>
    </xdr:to>
    <xdr:sp macro="" textlink="">
      <xdr:nvSpPr>
        <xdr:cNvPr id="94" name="TextBox 93">
          <a:extLst>
            <a:ext uri="{FF2B5EF4-FFF2-40B4-BE49-F238E27FC236}">
              <a16:creationId xmlns:a16="http://schemas.microsoft.com/office/drawing/2014/main" id="{6665E769-03B2-4464-8E12-C658EDB3D5D7}"/>
            </a:ext>
          </a:extLst>
        </xdr:cNvPr>
        <xdr:cNvSpPr txBox="1"/>
      </xdr:nvSpPr>
      <xdr:spPr>
        <a:xfrm>
          <a:off x="10039350" y="2990850"/>
          <a:ext cx="61912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a:solidFill>
                <a:schemeClr val="bg1"/>
              </a:solidFill>
              <a:latin typeface="Kulim Park"/>
              <a:ea typeface="+mn-ea"/>
              <a:cs typeface="+mn-cs"/>
            </a:rPr>
            <a:t>Analyst</a:t>
          </a:r>
          <a:endParaRPr lang="en-US" sz="1200" b="0">
            <a:solidFill>
              <a:schemeClr val="bg1"/>
            </a:solidFill>
            <a:latin typeface="Kulim Park"/>
            <a:ea typeface="+mn-ea"/>
            <a:cs typeface="+mn-cs"/>
          </a:endParaRPr>
        </a:p>
      </xdr:txBody>
    </xdr:sp>
    <xdr:clientData/>
  </xdr:twoCellAnchor>
  <xdr:twoCellAnchor>
    <xdr:from>
      <xdr:col>15</xdr:col>
      <xdr:colOff>200024</xdr:colOff>
      <xdr:row>17</xdr:row>
      <xdr:rowOff>133350</xdr:rowOff>
    </xdr:from>
    <xdr:to>
      <xdr:col>16</xdr:col>
      <xdr:colOff>380999</xdr:colOff>
      <xdr:row>19</xdr:row>
      <xdr:rowOff>76200</xdr:rowOff>
    </xdr:to>
    <xdr:sp macro="" textlink="">
      <xdr:nvSpPr>
        <xdr:cNvPr id="99" name="TextBox 98">
          <a:extLst>
            <a:ext uri="{FF2B5EF4-FFF2-40B4-BE49-F238E27FC236}">
              <a16:creationId xmlns:a16="http://schemas.microsoft.com/office/drawing/2014/main" id="{DE618AD2-7165-495B-BA5D-85B68B1E536E}"/>
            </a:ext>
          </a:extLst>
        </xdr:cNvPr>
        <xdr:cNvSpPr txBox="1"/>
      </xdr:nvSpPr>
      <xdr:spPr>
        <a:xfrm>
          <a:off x="9344024" y="3209925"/>
          <a:ext cx="7905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a:solidFill>
                <a:schemeClr val="bg1"/>
              </a:solidFill>
              <a:latin typeface="Kulim Park"/>
              <a:ea typeface="+mn-ea"/>
              <a:cs typeface="+mn-cs"/>
            </a:rPr>
            <a:t>Manager</a:t>
          </a:r>
        </a:p>
      </xdr:txBody>
    </xdr:sp>
    <xdr:clientData/>
  </xdr:twoCellAnchor>
  <xdr:twoCellAnchor>
    <xdr:from>
      <xdr:col>15</xdr:col>
      <xdr:colOff>66675</xdr:colOff>
      <xdr:row>18</xdr:row>
      <xdr:rowOff>9525</xdr:rowOff>
    </xdr:from>
    <xdr:to>
      <xdr:col>15</xdr:col>
      <xdr:colOff>249555</xdr:colOff>
      <xdr:row>19</xdr:row>
      <xdr:rowOff>11430</xdr:rowOff>
    </xdr:to>
    <xdr:sp macro="" textlink="">
      <xdr:nvSpPr>
        <xdr:cNvPr id="102" name="Oval 101">
          <a:extLst>
            <a:ext uri="{FF2B5EF4-FFF2-40B4-BE49-F238E27FC236}">
              <a16:creationId xmlns:a16="http://schemas.microsoft.com/office/drawing/2014/main" id="{A18FC94F-6AC3-458D-BAAD-274A632080F9}"/>
            </a:ext>
          </a:extLst>
        </xdr:cNvPr>
        <xdr:cNvSpPr/>
      </xdr:nvSpPr>
      <xdr:spPr>
        <a:xfrm>
          <a:off x="9210675" y="3267075"/>
          <a:ext cx="182880" cy="182880"/>
        </a:xfrm>
        <a:prstGeom prst="ellipse">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342900</xdr:colOff>
      <xdr:row>17</xdr:row>
      <xdr:rowOff>161925</xdr:rowOff>
    </xdr:from>
    <xdr:to>
      <xdr:col>15</xdr:col>
      <xdr:colOff>133350</xdr:colOff>
      <xdr:row>19</xdr:row>
      <xdr:rowOff>104775</xdr:rowOff>
    </xdr:to>
    <xdr:sp macro="" textlink="">
      <xdr:nvSpPr>
        <xdr:cNvPr id="104" name="TextBox 103">
          <a:extLst>
            <a:ext uri="{FF2B5EF4-FFF2-40B4-BE49-F238E27FC236}">
              <a16:creationId xmlns:a16="http://schemas.microsoft.com/office/drawing/2014/main" id="{04462907-473E-4768-83C2-F35A1ECB7A17}"/>
            </a:ext>
          </a:extLst>
        </xdr:cNvPr>
        <xdr:cNvSpPr txBox="1"/>
      </xdr:nvSpPr>
      <xdr:spPr>
        <a:xfrm>
          <a:off x="8267700" y="3238500"/>
          <a:ext cx="10096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a:solidFill>
                <a:schemeClr val="bg1"/>
              </a:solidFill>
              <a:latin typeface="Kulim Park"/>
              <a:ea typeface="+mn-ea"/>
              <a:cs typeface="+mn-cs"/>
            </a:rPr>
            <a:t>HR</a:t>
          </a:r>
          <a:r>
            <a:rPr lang="en-US" sz="1200" b="0" baseline="0">
              <a:solidFill>
                <a:schemeClr val="bg1"/>
              </a:solidFill>
              <a:latin typeface="Kulim Park"/>
              <a:ea typeface="+mn-ea"/>
              <a:cs typeface="+mn-cs"/>
            </a:rPr>
            <a:t> Specialist</a:t>
          </a:r>
          <a:endParaRPr lang="en-US" sz="1200" b="0">
            <a:solidFill>
              <a:schemeClr val="bg1"/>
            </a:solidFill>
            <a:latin typeface="Kulim Park"/>
            <a:ea typeface="+mn-ea"/>
            <a:cs typeface="+mn-cs"/>
          </a:endParaRPr>
        </a:p>
      </xdr:txBody>
    </xdr:sp>
    <xdr:clientData/>
  </xdr:twoCellAnchor>
  <xdr:twoCellAnchor>
    <xdr:from>
      <xdr:col>13</xdr:col>
      <xdr:colOff>219075</xdr:colOff>
      <xdr:row>18</xdr:row>
      <xdr:rowOff>38100</xdr:rowOff>
    </xdr:from>
    <xdr:to>
      <xdr:col>13</xdr:col>
      <xdr:colOff>401955</xdr:colOff>
      <xdr:row>19</xdr:row>
      <xdr:rowOff>40005</xdr:rowOff>
    </xdr:to>
    <xdr:sp macro="" textlink="">
      <xdr:nvSpPr>
        <xdr:cNvPr id="108" name="Oval 107">
          <a:extLst>
            <a:ext uri="{FF2B5EF4-FFF2-40B4-BE49-F238E27FC236}">
              <a16:creationId xmlns:a16="http://schemas.microsoft.com/office/drawing/2014/main" id="{1FDC9930-506B-473F-A903-2AB104DDDAE0}"/>
            </a:ext>
          </a:extLst>
        </xdr:cNvPr>
        <xdr:cNvSpPr/>
      </xdr:nvSpPr>
      <xdr:spPr>
        <a:xfrm>
          <a:off x="8143875" y="3295650"/>
          <a:ext cx="182880" cy="182880"/>
        </a:xfrm>
        <a:prstGeom prst="ellipse">
          <a:avLst/>
        </a:prstGeom>
        <a:solidFill>
          <a:srgbClr val="F2961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190500</xdr:colOff>
      <xdr:row>16</xdr:row>
      <xdr:rowOff>171450</xdr:rowOff>
    </xdr:from>
    <xdr:to>
      <xdr:col>16</xdr:col>
      <xdr:colOff>373380</xdr:colOff>
      <xdr:row>17</xdr:row>
      <xdr:rowOff>173355</xdr:rowOff>
    </xdr:to>
    <xdr:sp macro="" textlink="">
      <xdr:nvSpPr>
        <xdr:cNvPr id="109" name="Oval 108">
          <a:extLst>
            <a:ext uri="{FF2B5EF4-FFF2-40B4-BE49-F238E27FC236}">
              <a16:creationId xmlns:a16="http://schemas.microsoft.com/office/drawing/2014/main" id="{78E5F192-145F-41B0-8D43-11228B43D4F9}"/>
            </a:ext>
          </a:extLst>
        </xdr:cNvPr>
        <xdr:cNvSpPr/>
      </xdr:nvSpPr>
      <xdr:spPr>
        <a:xfrm>
          <a:off x="9944100" y="3067050"/>
          <a:ext cx="182880" cy="182880"/>
        </a:xfrm>
        <a:prstGeom prst="ellipse">
          <a:avLst/>
        </a:prstGeom>
        <a:solidFill>
          <a:srgbClr val="7793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504825</xdr:colOff>
      <xdr:row>16</xdr:row>
      <xdr:rowOff>161925</xdr:rowOff>
    </xdr:from>
    <xdr:to>
      <xdr:col>15</xdr:col>
      <xdr:colOff>78105</xdr:colOff>
      <xdr:row>17</xdr:row>
      <xdr:rowOff>163830</xdr:rowOff>
    </xdr:to>
    <xdr:sp macro="" textlink="">
      <xdr:nvSpPr>
        <xdr:cNvPr id="110" name="Oval 109">
          <a:extLst>
            <a:ext uri="{FF2B5EF4-FFF2-40B4-BE49-F238E27FC236}">
              <a16:creationId xmlns:a16="http://schemas.microsoft.com/office/drawing/2014/main" id="{12DC10F0-39DF-4F8D-92DA-292A945C3C8C}"/>
            </a:ext>
          </a:extLst>
        </xdr:cNvPr>
        <xdr:cNvSpPr/>
      </xdr:nvSpPr>
      <xdr:spPr>
        <a:xfrm>
          <a:off x="9039225" y="3057525"/>
          <a:ext cx="182880" cy="182880"/>
        </a:xfrm>
        <a:prstGeom prst="ellipse">
          <a:avLst/>
        </a:prstGeom>
        <a:solidFill>
          <a:srgbClr val="948A5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238125</xdr:colOff>
      <xdr:row>16</xdr:row>
      <xdr:rowOff>161925</xdr:rowOff>
    </xdr:from>
    <xdr:to>
      <xdr:col>13</xdr:col>
      <xdr:colOff>421005</xdr:colOff>
      <xdr:row>17</xdr:row>
      <xdr:rowOff>163830</xdr:rowOff>
    </xdr:to>
    <xdr:sp macro="" textlink="">
      <xdr:nvSpPr>
        <xdr:cNvPr id="111" name="Oval 110">
          <a:extLst>
            <a:ext uri="{FF2B5EF4-FFF2-40B4-BE49-F238E27FC236}">
              <a16:creationId xmlns:a16="http://schemas.microsoft.com/office/drawing/2014/main" id="{451092F7-27E8-493F-A2C7-7C283BD26E31}"/>
            </a:ext>
          </a:extLst>
        </xdr:cNvPr>
        <xdr:cNvSpPr/>
      </xdr:nvSpPr>
      <xdr:spPr>
        <a:xfrm>
          <a:off x="8162925" y="3057525"/>
          <a:ext cx="182880" cy="1828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371475</xdr:colOff>
      <xdr:row>16</xdr:row>
      <xdr:rowOff>104775</xdr:rowOff>
    </xdr:from>
    <xdr:to>
      <xdr:col>14</xdr:col>
      <xdr:colOff>533400</xdr:colOff>
      <xdr:row>18</xdr:row>
      <xdr:rowOff>47625</xdr:rowOff>
    </xdr:to>
    <xdr:sp macro="" textlink="">
      <xdr:nvSpPr>
        <xdr:cNvPr id="112" name="TextBox 111">
          <a:extLst>
            <a:ext uri="{FF2B5EF4-FFF2-40B4-BE49-F238E27FC236}">
              <a16:creationId xmlns:a16="http://schemas.microsoft.com/office/drawing/2014/main" id="{62A1497E-3104-4972-B7C5-92FCC00F9FF6}"/>
            </a:ext>
          </a:extLst>
        </xdr:cNvPr>
        <xdr:cNvSpPr txBox="1"/>
      </xdr:nvSpPr>
      <xdr:spPr>
        <a:xfrm>
          <a:off x="8296275" y="3000375"/>
          <a:ext cx="7715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a:solidFill>
                <a:schemeClr val="bg1"/>
              </a:solidFill>
              <a:latin typeface="Kulim Park"/>
              <a:ea typeface="+mn-ea"/>
              <a:cs typeface="+mn-cs"/>
            </a:rPr>
            <a:t>Designer</a:t>
          </a:r>
        </a:p>
      </xdr:txBody>
    </xdr:sp>
    <xdr:clientData/>
  </xdr:twoCellAnchor>
  <xdr:twoCellAnchor>
    <xdr:from>
      <xdr:col>13</xdr:col>
      <xdr:colOff>238125</xdr:colOff>
      <xdr:row>7</xdr:row>
      <xdr:rowOff>66675</xdr:rowOff>
    </xdr:from>
    <xdr:to>
      <xdr:col>16</xdr:col>
      <xdr:colOff>238125</xdr:colOff>
      <xdr:row>8</xdr:row>
      <xdr:rowOff>85725</xdr:rowOff>
    </xdr:to>
    <xdr:sp macro="" textlink="">
      <xdr:nvSpPr>
        <xdr:cNvPr id="114" name="Rectangle 113">
          <a:extLst>
            <a:ext uri="{FF2B5EF4-FFF2-40B4-BE49-F238E27FC236}">
              <a16:creationId xmlns:a16="http://schemas.microsoft.com/office/drawing/2014/main" id="{3471E90B-DF6E-4D62-8308-7D0087FAD8DF}"/>
            </a:ext>
          </a:extLst>
        </xdr:cNvPr>
        <xdr:cNvSpPr/>
      </xdr:nvSpPr>
      <xdr:spPr>
        <a:xfrm>
          <a:off x="8162925" y="1333500"/>
          <a:ext cx="1828800" cy="2000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n>
                <a:noFill/>
              </a:ln>
              <a:solidFill>
                <a:schemeClr val="tx1">
                  <a:lumMod val="50000"/>
                  <a:lumOff val="50000"/>
                </a:schemeClr>
              </a:solidFill>
            </a:rPr>
            <a:t>  Leave taken by job title</a:t>
          </a:r>
        </a:p>
      </xdr:txBody>
    </xdr:sp>
    <xdr:clientData/>
  </xdr:twoCellAnchor>
  <xdr:twoCellAnchor>
    <xdr:from>
      <xdr:col>13</xdr:col>
      <xdr:colOff>285750</xdr:colOff>
      <xdr:row>5</xdr:row>
      <xdr:rowOff>161926</xdr:rowOff>
    </xdr:from>
    <xdr:to>
      <xdr:col>16</xdr:col>
      <xdr:colOff>19050</xdr:colOff>
      <xdr:row>7</xdr:row>
      <xdr:rowOff>85726</xdr:rowOff>
    </xdr:to>
    <xdr:sp macro="" textlink="">
      <xdr:nvSpPr>
        <xdr:cNvPr id="115" name="Rectangle 114">
          <a:extLst>
            <a:ext uri="{FF2B5EF4-FFF2-40B4-BE49-F238E27FC236}">
              <a16:creationId xmlns:a16="http://schemas.microsoft.com/office/drawing/2014/main" id="{DCC1AEA2-6414-4F66-AA60-FF3BF42059F6}"/>
            </a:ext>
          </a:extLst>
        </xdr:cNvPr>
        <xdr:cNvSpPr/>
      </xdr:nvSpPr>
      <xdr:spPr>
        <a:xfrm>
          <a:off x="8210550" y="1066801"/>
          <a:ext cx="1562100"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F29617"/>
              </a:solidFill>
            </a:rPr>
            <a:t>   Leave Tracking</a:t>
          </a:r>
          <a:endParaRPr lang="en-US" sz="1400" b="1">
            <a:solidFill>
              <a:srgbClr val="FFC000"/>
            </a:solidFill>
          </a:endParaRPr>
        </a:p>
      </xdr:txBody>
    </xdr:sp>
    <xdr:clientData/>
  </xdr:twoCellAnchor>
  <xdr:twoCellAnchor>
    <xdr:from>
      <xdr:col>17</xdr:col>
      <xdr:colOff>581024</xdr:colOff>
      <xdr:row>12</xdr:row>
      <xdr:rowOff>104776</xdr:rowOff>
    </xdr:from>
    <xdr:to>
      <xdr:col>21</xdr:col>
      <xdr:colOff>504826</xdr:colOff>
      <xdr:row>20</xdr:row>
      <xdr:rowOff>0</xdr:rowOff>
    </xdr:to>
    <xdr:graphicFrame macro="">
      <xdr:nvGraphicFramePr>
        <xdr:cNvPr id="116" name="Chart 115">
          <a:extLst>
            <a:ext uri="{FF2B5EF4-FFF2-40B4-BE49-F238E27FC236}">
              <a16:creationId xmlns:a16="http://schemas.microsoft.com/office/drawing/2014/main" id="{FA1FBEC8-9F19-4704-9C51-490D5EEDC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142875</xdr:colOff>
      <xdr:row>11</xdr:row>
      <xdr:rowOff>95251</xdr:rowOff>
    </xdr:from>
    <xdr:to>
      <xdr:col>21</xdr:col>
      <xdr:colOff>352425</xdr:colOff>
      <xdr:row>13</xdr:row>
      <xdr:rowOff>28575</xdr:rowOff>
    </xdr:to>
    <xdr:sp macro="" textlink="">
      <xdr:nvSpPr>
        <xdr:cNvPr id="118" name="Rectangle 117">
          <a:extLst>
            <a:ext uri="{FF2B5EF4-FFF2-40B4-BE49-F238E27FC236}">
              <a16:creationId xmlns:a16="http://schemas.microsoft.com/office/drawing/2014/main" id="{8B1F1CB8-E280-4CE4-9978-67D460ED7C90}"/>
            </a:ext>
          </a:extLst>
        </xdr:cNvPr>
        <xdr:cNvSpPr/>
      </xdr:nvSpPr>
      <xdr:spPr>
        <a:xfrm>
          <a:off x="11115675" y="2085976"/>
          <a:ext cx="2038350" cy="2952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n>
                <a:noFill/>
              </a:ln>
              <a:solidFill>
                <a:schemeClr val="tx1">
                  <a:lumMod val="50000"/>
                  <a:lumOff val="50000"/>
                </a:schemeClr>
              </a:solidFill>
              <a:latin typeface="Kulim Park"/>
            </a:rPr>
            <a:t>Employees</a:t>
          </a:r>
          <a:r>
            <a:rPr lang="en-US" sz="1100" baseline="0">
              <a:ln>
                <a:noFill/>
              </a:ln>
              <a:solidFill>
                <a:schemeClr val="tx1">
                  <a:lumMod val="50000"/>
                  <a:lumOff val="50000"/>
                </a:schemeClr>
              </a:solidFill>
              <a:latin typeface="Kulim Park"/>
            </a:rPr>
            <a:t> per region</a:t>
          </a:r>
          <a:endParaRPr lang="en-US" sz="1100">
            <a:ln>
              <a:noFill/>
            </a:ln>
            <a:solidFill>
              <a:schemeClr val="tx1">
                <a:lumMod val="50000"/>
                <a:lumOff val="50000"/>
              </a:schemeClr>
            </a:solidFill>
            <a:latin typeface="Kulim Park"/>
          </a:endParaRPr>
        </a:p>
      </xdr:txBody>
    </xdr:sp>
    <xdr:clientData/>
  </xdr:twoCellAnchor>
  <xdr:twoCellAnchor>
    <xdr:from>
      <xdr:col>18</xdr:col>
      <xdr:colOff>123825</xdr:colOff>
      <xdr:row>10</xdr:row>
      <xdr:rowOff>19051</xdr:rowOff>
    </xdr:from>
    <xdr:to>
      <xdr:col>21</xdr:col>
      <xdr:colOff>0</xdr:colOff>
      <xdr:row>11</xdr:row>
      <xdr:rowOff>123826</xdr:rowOff>
    </xdr:to>
    <xdr:sp macro="" textlink="">
      <xdr:nvSpPr>
        <xdr:cNvPr id="119" name="Rectangle 118">
          <a:extLst>
            <a:ext uri="{FF2B5EF4-FFF2-40B4-BE49-F238E27FC236}">
              <a16:creationId xmlns:a16="http://schemas.microsoft.com/office/drawing/2014/main" id="{3E447E54-21FF-45BE-A01C-8C5E5A28CBF6}"/>
            </a:ext>
          </a:extLst>
        </xdr:cNvPr>
        <xdr:cNvSpPr/>
      </xdr:nvSpPr>
      <xdr:spPr>
        <a:xfrm>
          <a:off x="11096625" y="1828801"/>
          <a:ext cx="1704975"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F29617"/>
              </a:solidFill>
            </a:rPr>
            <a:t>Regions</a:t>
          </a:r>
        </a:p>
        <a:p>
          <a:pPr algn="l"/>
          <a:endParaRPr lang="en-US" sz="1400" b="1">
            <a:solidFill>
              <a:srgbClr val="F29617"/>
            </a:solidFill>
          </a:endParaRPr>
        </a:p>
      </xdr:txBody>
    </xdr:sp>
    <xdr:clientData/>
  </xdr:twoCellAnchor>
  <xdr:twoCellAnchor>
    <xdr:from>
      <xdr:col>17</xdr:col>
      <xdr:colOff>581027</xdr:colOff>
      <xdr:row>4</xdr:row>
      <xdr:rowOff>104775</xdr:rowOff>
    </xdr:from>
    <xdr:to>
      <xdr:col>19</xdr:col>
      <xdr:colOff>495300</xdr:colOff>
      <xdr:row>6</xdr:row>
      <xdr:rowOff>161925</xdr:rowOff>
    </xdr:to>
    <xdr:sp macro="" textlink="PivoteTable!Z18">
      <xdr:nvSpPr>
        <xdr:cNvPr id="107" name="Rectangle 106">
          <a:extLst>
            <a:ext uri="{FF2B5EF4-FFF2-40B4-BE49-F238E27FC236}">
              <a16:creationId xmlns:a16="http://schemas.microsoft.com/office/drawing/2014/main" id="{2D05451B-7606-4E30-BECE-5777CA5EB5B0}"/>
            </a:ext>
          </a:extLst>
        </xdr:cNvPr>
        <xdr:cNvSpPr/>
      </xdr:nvSpPr>
      <xdr:spPr>
        <a:xfrm>
          <a:off x="10944227" y="828675"/>
          <a:ext cx="1133473" cy="4191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9556B77-F8AB-4B1C-9E22-153CC058BDD7}" type="TxLink">
            <a:rPr lang="en-US" sz="4000" b="1" i="0" u="none" strike="noStrike">
              <a:solidFill>
                <a:schemeClr val="bg1">
                  <a:lumMod val="85000"/>
                </a:schemeClr>
              </a:solidFill>
              <a:latin typeface="Kulim Spark"/>
            </a:rPr>
            <a:pPr algn="ctr"/>
            <a:t>131</a:t>
          </a:fld>
          <a:endParaRPr lang="en-US" sz="4000" b="1">
            <a:solidFill>
              <a:schemeClr val="bg1">
                <a:lumMod val="85000"/>
              </a:schemeClr>
            </a:solidFill>
          </a:endParaRPr>
        </a:p>
      </xdr:txBody>
    </xdr:sp>
    <xdr:clientData/>
  </xdr:twoCellAnchor>
  <xdr:twoCellAnchor>
    <xdr:from>
      <xdr:col>17</xdr:col>
      <xdr:colOff>581026</xdr:colOff>
      <xdr:row>7</xdr:row>
      <xdr:rowOff>9526</xdr:rowOff>
    </xdr:from>
    <xdr:to>
      <xdr:col>20</xdr:col>
      <xdr:colOff>171450</xdr:colOff>
      <xdr:row>8</xdr:row>
      <xdr:rowOff>114301</xdr:rowOff>
    </xdr:to>
    <xdr:sp macro="" textlink="">
      <xdr:nvSpPr>
        <xdr:cNvPr id="113" name="Rectangle 112">
          <a:extLst>
            <a:ext uri="{FF2B5EF4-FFF2-40B4-BE49-F238E27FC236}">
              <a16:creationId xmlns:a16="http://schemas.microsoft.com/office/drawing/2014/main" id="{064B9434-4CD9-49CB-9B3D-DF6CD1EDB2E8}"/>
            </a:ext>
          </a:extLst>
        </xdr:cNvPr>
        <xdr:cNvSpPr/>
      </xdr:nvSpPr>
      <xdr:spPr>
        <a:xfrm>
          <a:off x="10944226" y="1276351"/>
          <a:ext cx="1419224"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bg1">
                  <a:lumMod val="85000"/>
                </a:schemeClr>
              </a:solidFill>
            </a:rPr>
            <a:t>Total  Rating</a:t>
          </a:r>
          <a:endParaRPr lang="en-US" sz="1400" b="1">
            <a:solidFill>
              <a:schemeClr val="bg1">
                <a:lumMod val="85000"/>
              </a:schemeClr>
            </a:solidFill>
          </a:endParaRPr>
        </a:p>
        <a:p>
          <a:pPr algn="l"/>
          <a:endParaRPr lang="en-US" sz="1400" b="1">
            <a:solidFill>
              <a:srgbClr val="FFC000"/>
            </a:solidFill>
          </a:endParaRPr>
        </a:p>
      </xdr:txBody>
    </xdr:sp>
    <xdr:clientData/>
  </xdr:twoCellAnchor>
  <xdr:twoCellAnchor editAs="oneCell">
    <xdr:from>
      <xdr:col>20</xdr:col>
      <xdr:colOff>85726</xdr:colOff>
      <xdr:row>4</xdr:row>
      <xdr:rowOff>28576</xdr:rowOff>
    </xdr:from>
    <xdr:to>
      <xdr:col>21</xdr:col>
      <xdr:colOff>581026</xdr:colOff>
      <xdr:row>8</xdr:row>
      <xdr:rowOff>104776</xdr:rowOff>
    </xdr:to>
    <xdr:pic>
      <xdr:nvPicPr>
        <xdr:cNvPr id="25" name="Picture 24">
          <a:extLst>
            <a:ext uri="{FF2B5EF4-FFF2-40B4-BE49-F238E27FC236}">
              <a16:creationId xmlns:a16="http://schemas.microsoft.com/office/drawing/2014/main" id="{93C0134D-1E87-4184-88C9-5A4B05893E2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2277726" y="752476"/>
          <a:ext cx="1104900" cy="800100"/>
        </a:xfrm>
        <a:prstGeom prst="rect">
          <a:avLst/>
        </a:prstGeom>
      </xdr:spPr>
    </xdr:pic>
    <xdr:clientData/>
  </xdr:twoCellAnchor>
  <xdr:twoCellAnchor>
    <xdr:from>
      <xdr:col>18</xdr:col>
      <xdr:colOff>57150</xdr:colOff>
      <xdr:row>2</xdr:row>
      <xdr:rowOff>85725</xdr:rowOff>
    </xdr:from>
    <xdr:to>
      <xdr:col>21</xdr:col>
      <xdr:colOff>57150</xdr:colOff>
      <xdr:row>3</xdr:row>
      <xdr:rowOff>104775</xdr:rowOff>
    </xdr:to>
    <xdr:sp macro="" textlink="">
      <xdr:nvSpPr>
        <xdr:cNvPr id="121" name="Rectangle 120">
          <a:extLst>
            <a:ext uri="{FF2B5EF4-FFF2-40B4-BE49-F238E27FC236}">
              <a16:creationId xmlns:a16="http://schemas.microsoft.com/office/drawing/2014/main" id="{5BB5D809-31CB-4AA5-958A-A1A765FDD011}"/>
            </a:ext>
          </a:extLst>
        </xdr:cNvPr>
        <xdr:cNvSpPr/>
      </xdr:nvSpPr>
      <xdr:spPr>
        <a:xfrm>
          <a:off x="11029950" y="447675"/>
          <a:ext cx="1828800" cy="2000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n>
                <a:noFill/>
              </a:ln>
              <a:solidFill>
                <a:schemeClr val="tx1">
                  <a:lumMod val="50000"/>
                  <a:lumOff val="50000"/>
                </a:schemeClr>
              </a:solidFill>
            </a:rPr>
            <a:t>Total</a:t>
          </a:r>
          <a:r>
            <a:rPr lang="en-US" sz="1200" baseline="0">
              <a:ln>
                <a:noFill/>
              </a:ln>
              <a:solidFill>
                <a:schemeClr val="tx1">
                  <a:lumMod val="50000"/>
                  <a:lumOff val="50000"/>
                </a:schemeClr>
              </a:solidFill>
            </a:rPr>
            <a:t> performance rating</a:t>
          </a:r>
          <a:endParaRPr lang="en-US" sz="1200">
            <a:ln>
              <a:noFill/>
            </a:ln>
            <a:solidFill>
              <a:schemeClr val="tx1">
                <a:lumMod val="50000"/>
                <a:lumOff val="50000"/>
              </a:schemeClr>
            </a:solidFill>
          </a:endParaRPr>
        </a:p>
      </xdr:txBody>
    </xdr:sp>
    <xdr:clientData/>
  </xdr:twoCellAnchor>
  <xdr:twoCellAnchor>
    <xdr:from>
      <xdr:col>18</xdr:col>
      <xdr:colOff>104775</xdr:colOff>
      <xdr:row>1</xdr:row>
      <xdr:rowOff>1</xdr:rowOff>
    </xdr:from>
    <xdr:to>
      <xdr:col>20</xdr:col>
      <xdr:colOff>447675</xdr:colOff>
      <xdr:row>2</xdr:row>
      <xdr:rowOff>104776</xdr:rowOff>
    </xdr:to>
    <xdr:sp macro="" textlink="">
      <xdr:nvSpPr>
        <xdr:cNvPr id="124" name="Rectangle 123">
          <a:extLst>
            <a:ext uri="{FF2B5EF4-FFF2-40B4-BE49-F238E27FC236}">
              <a16:creationId xmlns:a16="http://schemas.microsoft.com/office/drawing/2014/main" id="{BCDAFFE6-FAC6-40F1-BB8D-97AE021BB007}"/>
            </a:ext>
          </a:extLst>
        </xdr:cNvPr>
        <xdr:cNvSpPr/>
      </xdr:nvSpPr>
      <xdr:spPr>
        <a:xfrm>
          <a:off x="11077575" y="180976"/>
          <a:ext cx="1562100"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F29617"/>
              </a:solidFill>
            </a:rPr>
            <a:t>Leave</a:t>
          </a:r>
          <a:r>
            <a:rPr lang="en-US" sz="1400" b="1">
              <a:solidFill>
                <a:srgbClr val="F29617"/>
              </a:solidFill>
            </a:rPr>
            <a:t> Tracking</a:t>
          </a:r>
          <a:endParaRPr lang="en-US" sz="1400" b="1">
            <a:solidFill>
              <a:srgbClr val="FFC000"/>
            </a:solidFill>
          </a:endParaRPr>
        </a:p>
      </xdr:txBody>
    </xdr:sp>
    <xdr:clientData/>
  </xdr:twoCellAnchor>
  <xdr:twoCellAnchor>
    <xdr:from>
      <xdr:col>18</xdr:col>
      <xdr:colOff>47625</xdr:colOff>
      <xdr:row>1</xdr:row>
      <xdr:rowOff>133350</xdr:rowOff>
    </xdr:from>
    <xdr:to>
      <xdr:col>18</xdr:col>
      <xdr:colOff>139065</xdr:colOff>
      <xdr:row>2</xdr:row>
      <xdr:rowOff>43815</xdr:rowOff>
    </xdr:to>
    <xdr:sp macro="" textlink="">
      <xdr:nvSpPr>
        <xdr:cNvPr id="28" name="Oval 27">
          <a:extLst>
            <a:ext uri="{FF2B5EF4-FFF2-40B4-BE49-F238E27FC236}">
              <a16:creationId xmlns:a16="http://schemas.microsoft.com/office/drawing/2014/main" id="{C308DFEF-37E1-415F-BB22-15E89536B298}"/>
            </a:ext>
          </a:extLst>
        </xdr:cNvPr>
        <xdr:cNvSpPr/>
      </xdr:nvSpPr>
      <xdr:spPr>
        <a:xfrm>
          <a:off x="11020425" y="314325"/>
          <a:ext cx="91440" cy="9144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94296</xdr:colOff>
      <xdr:row>10</xdr:row>
      <xdr:rowOff>123876</xdr:rowOff>
    </xdr:from>
    <xdr:to>
      <xdr:col>18</xdr:col>
      <xdr:colOff>185736</xdr:colOff>
      <xdr:row>11</xdr:row>
      <xdr:rowOff>34341</xdr:rowOff>
    </xdr:to>
    <xdr:sp macro="" textlink="">
      <xdr:nvSpPr>
        <xdr:cNvPr id="125" name="Oval 124">
          <a:extLst>
            <a:ext uri="{FF2B5EF4-FFF2-40B4-BE49-F238E27FC236}">
              <a16:creationId xmlns:a16="http://schemas.microsoft.com/office/drawing/2014/main" id="{DD77F97E-F35B-4300-A32F-02A3D591B45C}"/>
            </a:ext>
          </a:extLst>
        </xdr:cNvPr>
        <xdr:cNvSpPr/>
      </xdr:nvSpPr>
      <xdr:spPr>
        <a:xfrm>
          <a:off x="11067096" y="1933626"/>
          <a:ext cx="91440" cy="9144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513396</xdr:colOff>
      <xdr:row>20</xdr:row>
      <xdr:rowOff>95301</xdr:rowOff>
    </xdr:from>
    <xdr:to>
      <xdr:col>17</xdr:col>
      <xdr:colOff>604836</xdr:colOff>
      <xdr:row>21</xdr:row>
      <xdr:rowOff>5766</xdr:rowOff>
    </xdr:to>
    <xdr:sp macro="" textlink="">
      <xdr:nvSpPr>
        <xdr:cNvPr id="130" name="Oval 129">
          <a:extLst>
            <a:ext uri="{FF2B5EF4-FFF2-40B4-BE49-F238E27FC236}">
              <a16:creationId xmlns:a16="http://schemas.microsoft.com/office/drawing/2014/main" id="{785791FC-38AE-4CB1-84CA-702B0AFCA374}"/>
            </a:ext>
          </a:extLst>
        </xdr:cNvPr>
        <xdr:cNvSpPr/>
      </xdr:nvSpPr>
      <xdr:spPr>
        <a:xfrm>
          <a:off x="10876596" y="3714801"/>
          <a:ext cx="91440" cy="9144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352619</xdr:colOff>
      <xdr:row>6</xdr:row>
      <xdr:rowOff>95249</xdr:rowOff>
    </xdr:from>
    <xdr:to>
      <xdr:col>13</xdr:col>
      <xdr:colOff>444059</xdr:colOff>
      <xdr:row>7</xdr:row>
      <xdr:rowOff>5714</xdr:rowOff>
    </xdr:to>
    <xdr:sp macro="" textlink="">
      <xdr:nvSpPr>
        <xdr:cNvPr id="132" name="Oval 131">
          <a:extLst>
            <a:ext uri="{FF2B5EF4-FFF2-40B4-BE49-F238E27FC236}">
              <a16:creationId xmlns:a16="http://schemas.microsoft.com/office/drawing/2014/main" id="{53CDE656-01D1-4F50-A4E8-B91F65A611B4}"/>
            </a:ext>
          </a:extLst>
        </xdr:cNvPr>
        <xdr:cNvSpPr/>
      </xdr:nvSpPr>
      <xdr:spPr>
        <a:xfrm flipH="1">
          <a:off x="8277419" y="1181099"/>
          <a:ext cx="91440" cy="9144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343095</xdr:colOff>
      <xdr:row>20</xdr:row>
      <xdr:rowOff>152400</xdr:rowOff>
    </xdr:from>
    <xdr:to>
      <xdr:col>13</xdr:col>
      <xdr:colOff>434535</xdr:colOff>
      <xdr:row>21</xdr:row>
      <xdr:rowOff>62865</xdr:rowOff>
    </xdr:to>
    <xdr:sp macro="" textlink="">
      <xdr:nvSpPr>
        <xdr:cNvPr id="133" name="Oval 132">
          <a:extLst>
            <a:ext uri="{FF2B5EF4-FFF2-40B4-BE49-F238E27FC236}">
              <a16:creationId xmlns:a16="http://schemas.microsoft.com/office/drawing/2014/main" id="{080E5CB8-308F-4399-A2CA-A061FEA6D5E4}"/>
            </a:ext>
          </a:extLst>
        </xdr:cNvPr>
        <xdr:cNvSpPr/>
      </xdr:nvSpPr>
      <xdr:spPr>
        <a:xfrm flipH="1">
          <a:off x="8267895" y="3771900"/>
          <a:ext cx="91440" cy="9144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224984</xdr:colOff>
      <xdr:row>20</xdr:row>
      <xdr:rowOff>180974</xdr:rowOff>
    </xdr:from>
    <xdr:to>
      <xdr:col>9</xdr:col>
      <xdr:colOff>316424</xdr:colOff>
      <xdr:row>21</xdr:row>
      <xdr:rowOff>91439</xdr:rowOff>
    </xdr:to>
    <xdr:sp macro="" textlink="">
      <xdr:nvSpPr>
        <xdr:cNvPr id="134" name="Oval 133">
          <a:extLst>
            <a:ext uri="{FF2B5EF4-FFF2-40B4-BE49-F238E27FC236}">
              <a16:creationId xmlns:a16="http://schemas.microsoft.com/office/drawing/2014/main" id="{83079CDF-72FF-4A4C-8441-2CCB6E51EBA4}"/>
            </a:ext>
          </a:extLst>
        </xdr:cNvPr>
        <xdr:cNvSpPr/>
      </xdr:nvSpPr>
      <xdr:spPr>
        <a:xfrm>
          <a:off x="5711384" y="3800474"/>
          <a:ext cx="91440" cy="9144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47820</xdr:colOff>
      <xdr:row>7</xdr:row>
      <xdr:rowOff>142875</xdr:rowOff>
    </xdr:from>
    <xdr:to>
      <xdr:col>9</xdr:col>
      <xdr:colOff>139260</xdr:colOff>
      <xdr:row>8</xdr:row>
      <xdr:rowOff>53340</xdr:rowOff>
    </xdr:to>
    <xdr:sp macro="" textlink="">
      <xdr:nvSpPr>
        <xdr:cNvPr id="135" name="Oval 134">
          <a:extLst>
            <a:ext uri="{FF2B5EF4-FFF2-40B4-BE49-F238E27FC236}">
              <a16:creationId xmlns:a16="http://schemas.microsoft.com/office/drawing/2014/main" id="{5DB3DD12-AB40-455D-93E5-AB67E90790CB}"/>
            </a:ext>
          </a:extLst>
        </xdr:cNvPr>
        <xdr:cNvSpPr/>
      </xdr:nvSpPr>
      <xdr:spPr>
        <a:xfrm flipH="1">
          <a:off x="5534220" y="1409700"/>
          <a:ext cx="91440" cy="9144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533595</xdr:colOff>
      <xdr:row>10</xdr:row>
      <xdr:rowOff>123825</xdr:rowOff>
    </xdr:from>
    <xdr:to>
      <xdr:col>6</xdr:col>
      <xdr:colOff>15435</xdr:colOff>
      <xdr:row>11</xdr:row>
      <xdr:rowOff>34290</xdr:rowOff>
    </xdr:to>
    <xdr:sp macro="" textlink="">
      <xdr:nvSpPr>
        <xdr:cNvPr id="136" name="Oval 135">
          <a:extLst>
            <a:ext uri="{FF2B5EF4-FFF2-40B4-BE49-F238E27FC236}">
              <a16:creationId xmlns:a16="http://schemas.microsoft.com/office/drawing/2014/main" id="{A90B5F47-8BB3-4646-85A8-386F56CACE1E}"/>
            </a:ext>
          </a:extLst>
        </xdr:cNvPr>
        <xdr:cNvSpPr/>
      </xdr:nvSpPr>
      <xdr:spPr>
        <a:xfrm flipH="1">
          <a:off x="3581595" y="1933575"/>
          <a:ext cx="91440" cy="9144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428820</xdr:colOff>
      <xdr:row>23</xdr:row>
      <xdr:rowOff>161925</xdr:rowOff>
    </xdr:from>
    <xdr:to>
      <xdr:col>5</xdr:col>
      <xdr:colOff>520260</xdr:colOff>
      <xdr:row>24</xdr:row>
      <xdr:rowOff>72390</xdr:rowOff>
    </xdr:to>
    <xdr:sp macro="" textlink="">
      <xdr:nvSpPr>
        <xdr:cNvPr id="137" name="Oval 136">
          <a:extLst>
            <a:ext uri="{FF2B5EF4-FFF2-40B4-BE49-F238E27FC236}">
              <a16:creationId xmlns:a16="http://schemas.microsoft.com/office/drawing/2014/main" id="{D9CED232-B4F9-40DF-B213-5334B5D3A872}"/>
            </a:ext>
          </a:extLst>
        </xdr:cNvPr>
        <xdr:cNvSpPr/>
      </xdr:nvSpPr>
      <xdr:spPr>
        <a:xfrm flipH="1">
          <a:off x="3476820" y="4324350"/>
          <a:ext cx="91440" cy="9144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552645</xdr:colOff>
      <xdr:row>13</xdr:row>
      <xdr:rowOff>114300</xdr:rowOff>
    </xdr:from>
    <xdr:to>
      <xdr:col>6</xdr:col>
      <xdr:colOff>34485</xdr:colOff>
      <xdr:row>14</xdr:row>
      <xdr:rowOff>24765</xdr:rowOff>
    </xdr:to>
    <xdr:sp macro="" textlink="">
      <xdr:nvSpPr>
        <xdr:cNvPr id="138" name="Oval 137">
          <a:extLst>
            <a:ext uri="{FF2B5EF4-FFF2-40B4-BE49-F238E27FC236}">
              <a16:creationId xmlns:a16="http://schemas.microsoft.com/office/drawing/2014/main" id="{56C6F2D5-9412-42EE-AD05-630B393714A7}"/>
            </a:ext>
          </a:extLst>
        </xdr:cNvPr>
        <xdr:cNvSpPr/>
      </xdr:nvSpPr>
      <xdr:spPr>
        <a:xfrm flipH="1">
          <a:off x="3600645" y="2466975"/>
          <a:ext cx="91440" cy="9144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543120</xdr:colOff>
      <xdr:row>15</xdr:row>
      <xdr:rowOff>66675</xdr:rowOff>
    </xdr:from>
    <xdr:to>
      <xdr:col>6</xdr:col>
      <xdr:colOff>24960</xdr:colOff>
      <xdr:row>15</xdr:row>
      <xdr:rowOff>158115</xdr:rowOff>
    </xdr:to>
    <xdr:sp macro="" textlink="">
      <xdr:nvSpPr>
        <xdr:cNvPr id="139" name="Oval 138">
          <a:extLst>
            <a:ext uri="{FF2B5EF4-FFF2-40B4-BE49-F238E27FC236}">
              <a16:creationId xmlns:a16="http://schemas.microsoft.com/office/drawing/2014/main" id="{5A816BC9-21C2-4A77-993F-726DE1F5F0EF}"/>
            </a:ext>
          </a:extLst>
        </xdr:cNvPr>
        <xdr:cNvSpPr/>
      </xdr:nvSpPr>
      <xdr:spPr>
        <a:xfrm flipH="1">
          <a:off x="3591120" y="2781300"/>
          <a:ext cx="91440" cy="9144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552645</xdr:colOff>
      <xdr:row>17</xdr:row>
      <xdr:rowOff>0</xdr:rowOff>
    </xdr:from>
    <xdr:to>
      <xdr:col>6</xdr:col>
      <xdr:colOff>34485</xdr:colOff>
      <xdr:row>17</xdr:row>
      <xdr:rowOff>91440</xdr:rowOff>
    </xdr:to>
    <xdr:sp macro="" textlink="">
      <xdr:nvSpPr>
        <xdr:cNvPr id="140" name="Oval 139">
          <a:extLst>
            <a:ext uri="{FF2B5EF4-FFF2-40B4-BE49-F238E27FC236}">
              <a16:creationId xmlns:a16="http://schemas.microsoft.com/office/drawing/2014/main" id="{19490810-3BAC-4B52-8BF7-7679D9AF0CA6}"/>
            </a:ext>
          </a:extLst>
        </xdr:cNvPr>
        <xdr:cNvSpPr/>
      </xdr:nvSpPr>
      <xdr:spPr>
        <a:xfrm flipH="1">
          <a:off x="3600645" y="3076575"/>
          <a:ext cx="91440" cy="9144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562170</xdr:colOff>
      <xdr:row>18</xdr:row>
      <xdr:rowOff>171450</xdr:rowOff>
    </xdr:from>
    <xdr:to>
      <xdr:col>6</xdr:col>
      <xdr:colOff>44010</xdr:colOff>
      <xdr:row>19</xdr:row>
      <xdr:rowOff>81915</xdr:rowOff>
    </xdr:to>
    <xdr:sp macro="" textlink="">
      <xdr:nvSpPr>
        <xdr:cNvPr id="141" name="Oval 140">
          <a:extLst>
            <a:ext uri="{FF2B5EF4-FFF2-40B4-BE49-F238E27FC236}">
              <a16:creationId xmlns:a16="http://schemas.microsoft.com/office/drawing/2014/main" id="{E5EDB096-F7BF-4CA5-B5CA-2EDD2281E0D3}"/>
            </a:ext>
          </a:extLst>
        </xdr:cNvPr>
        <xdr:cNvSpPr/>
      </xdr:nvSpPr>
      <xdr:spPr>
        <a:xfrm flipH="1">
          <a:off x="3610170" y="3429000"/>
          <a:ext cx="91440" cy="9144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552645</xdr:colOff>
      <xdr:row>20</xdr:row>
      <xdr:rowOff>152400</xdr:rowOff>
    </xdr:from>
    <xdr:to>
      <xdr:col>6</xdr:col>
      <xdr:colOff>34485</xdr:colOff>
      <xdr:row>21</xdr:row>
      <xdr:rowOff>62865</xdr:rowOff>
    </xdr:to>
    <xdr:sp macro="" textlink="">
      <xdr:nvSpPr>
        <xdr:cNvPr id="142" name="Oval 141">
          <a:extLst>
            <a:ext uri="{FF2B5EF4-FFF2-40B4-BE49-F238E27FC236}">
              <a16:creationId xmlns:a16="http://schemas.microsoft.com/office/drawing/2014/main" id="{C7E122F9-B44E-4CDD-A8B2-6FD04DC82864}"/>
            </a:ext>
          </a:extLst>
        </xdr:cNvPr>
        <xdr:cNvSpPr/>
      </xdr:nvSpPr>
      <xdr:spPr>
        <a:xfrm flipH="1">
          <a:off x="3600645" y="3771900"/>
          <a:ext cx="91440" cy="9144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533595</xdr:colOff>
      <xdr:row>12</xdr:row>
      <xdr:rowOff>19050</xdr:rowOff>
    </xdr:from>
    <xdr:to>
      <xdr:col>6</xdr:col>
      <xdr:colOff>15435</xdr:colOff>
      <xdr:row>12</xdr:row>
      <xdr:rowOff>110490</xdr:rowOff>
    </xdr:to>
    <xdr:sp macro="" textlink="">
      <xdr:nvSpPr>
        <xdr:cNvPr id="143" name="Oval 142">
          <a:extLst>
            <a:ext uri="{FF2B5EF4-FFF2-40B4-BE49-F238E27FC236}">
              <a16:creationId xmlns:a16="http://schemas.microsoft.com/office/drawing/2014/main" id="{6605BE6B-8538-42AE-9AE3-B89E938D4D05}"/>
            </a:ext>
          </a:extLst>
        </xdr:cNvPr>
        <xdr:cNvSpPr/>
      </xdr:nvSpPr>
      <xdr:spPr>
        <a:xfrm flipH="1">
          <a:off x="3581595" y="2190750"/>
          <a:ext cx="91440" cy="9144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571500</xdr:colOff>
      <xdr:row>10</xdr:row>
      <xdr:rowOff>171450</xdr:rowOff>
    </xdr:from>
    <xdr:to>
      <xdr:col>5</xdr:col>
      <xdr:colOff>581025</xdr:colOff>
      <xdr:row>12</xdr:row>
      <xdr:rowOff>104775</xdr:rowOff>
    </xdr:to>
    <xdr:cxnSp macro="">
      <xdr:nvCxnSpPr>
        <xdr:cNvPr id="41" name="Straight Connector 40">
          <a:extLst>
            <a:ext uri="{FF2B5EF4-FFF2-40B4-BE49-F238E27FC236}">
              <a16:creationId xmlns:a16="http://schemas.microsoft.com/office/drawing/2014/main" id="{9CE680AE-82C8-43AD-B86F-9562224A76CA}"/>
            </a:ext>
          </a:extLst>
        </xdr:cNvPr>
        <xdr:cNvCxnSpPr/>
      </xdr:nvCxnSpPr>
      <xdr:spPr>
        <a:xfrm flipH="1">
          <a:off x="3619500" y="1981200"/>
          <a:ext cx="9525" cy="295275"/>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466724</xdr:colOff>
      <xdr:row>0</xdr:row>
      <xdr:rowOff>57150</xdr:rowOff>
    </xdr:from>
    <xdr:to>
      <xdr:col>9</xdr:col>
      <xdr:colOff>171450</xdr:colOff>
      <xdr:row>4</xdr:row>
      <xdr:rowOff>142875</xdr:rowOff>
    </xdr:to>
    <xdr:sp macro="" textlink="">
      <xdr:nvSpPr>
        <xdr:cNvPr id="145" name="Rectangle 144">
          <a:extLst>
            <a:ext uri="{FF2B5EF4-FFF2-40B4-BE49-F238E27FC236}">
              <a16:creationId xmlns:a16="http://schemas.microsoft.com/office/drawing/2014/main" id="{354E320F-9432-48B4-A00D-6EACC117432D}"/>
            </a:ext>
          </a:extLst>
        </xdr:cNvPr>
        <xdr:cNvSpPr/>
      </xdr:nvSpPr>
      <xdr:spPr>
        <a:xfrm>
          <a:off x="4124324" y="57150"/>
          <a:ext cx="1533526" cy="8096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F29617"/>
              </a:solidFill>
            </a:rPr>
            <a:t>   </a:t>
          </a:r>
        </a:p>
        <a:p>
          <a:pPr algn="l"/>
          <a:r>
            <a:rPr lang="en-US" sz="2000" b="1">
              <a:solidFill>
                <a:srgbClr val="F29617"/>
              </a:solidFill>
            </a:rPr>
            <a:t>Dashboard</a:t>
          </a:r>
          <a:endParaRPr lang="en-US" sz="2000" b="1">
            <a:solidFill>
              <a:srgbClr val="FFC000"/>
            </a:solidFill>
          </a:endParaRPr>
        </a:p>
      </xdr:txBody>
    </xdr:sp>
    <xdr:clientData/>
  </xdr:twoCellAnchor>
  <xdr:twoCellAnchor>
    <xdr:from>
      <xdr:col>6</xdr:col>
      <xdr:colOff>485774</xdr:colOff>
      <xdr:row>4</xdr:row>
      <xdr:rowOff>28575</xdr:rowOff>
    </xdr:from>
    <xdr:to>
      <xdr:col>10</xdr:col>
      <xdr:colOff>590550</xdr:colOff>
      <xdr:row>5</xdr:row>
      <xdr:rowOff>152400</xdr:rowOff>
    </xdr:to>
    <xdr:sp macro="" textlink="">
      <xdr:nvSpPr>
        <xdr:cNvPr id="146" name="Rectangle 145">
          <a:extLst>
            <a:ext uri="{FF2B5EF4-FFF2-40B4-BE49-F238E27FC236}">
              <a16:creationId xmlns:a16="http://schemas.microsoft.com/office/drawing/2014/main" id="{BB002DC3-BF07-4750-B313-758D73F1B20D}"/>
            </a:ext>
          </a:extLst>
        </xdr:cNvPr>
        <xdr:cNvSpPr/>
      </xdr:nvSpPr>
      <xdr:spPr>
        <a:xfrm>
          <a:off x="4143374" y="752475"/>
          <a:ext cx="2543176" cy="304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n>
                <a:noFill/>
              </a:ln>
              <a:solidFill>
                <a:schemeClr val="tx1">
                  <a:lumMod val="50000"/>
                  <a:lumOff val="50000"/>
                </a:schemeClr>
              </a:solidFill>
            </a:rPr>
            <a:t>Analyze and monitor the HR department</a:t>
          </a:r>
        </a:p>
      </xdr:txBody>
    </xdr:sp>
    <xdr:clientData/>
  </xdr:twoCellAnchor>
  <xdr:twoCellAnchor editAs="oneCell">
    <xdr:from>
      <xdr:col>13</xdr:col>
      <xdr:colOff>171450</xdr:colOff>
      <xdr:row>0</xdr:row>
      <xdr:rowOff>123825</xdr:rowOff>
    </xdr:from>
    <xdr:to>
      <xdr:col>17</xdr:col>
      <xdr:colOff>381000</xdr:colOff>
      <xdr:row>6</xdr:row>
      <xdr:rowOff>57150</xdr:rowOff>
    </xdr:to>
    <mc:AlternateContent xmlns:mc="http://schemas.openxmlformats.org/markup-compatibility/2006" xmlns:a14="http://schemas.microsoft.com/office/drawing/2010/main">
      <mc:Choice Requires="a14">
        <xdr:graphicFrame macro="">
          <xdr:nvGraphicFramePr>
            <xdr:cNvPr id="144" name="Department 1">
              <a:extLst>
                <a:ext uri="{FF2B5EF4-FFF2-40B4-BE49-F238E27FC236}">
                  <a16:creationId xmlns:a16="http://schemas.microsoft.com/office/drawing/2014/main" id="{78FBE537-BA8F-40E4-8211-433F9D6E880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096250" y="123825"/>
              <a:ext cx="2647950" cy="101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76200</xdr:colOff>
      <xdr:row>0</xdr:row>
      <xdr:rowOff>142873</xdr:rowOff>
    </xdr:from>
    <xdr:to>
      <xdr:col>13</xdr:col>
      <xdr:colOff>190499</xdr:colOff>
      <xdr:row>4</xdr:row>
      <xdr:rowOff>123825</xdr:rowOff>
    </xdr:to>
    <mc:AlternateContent xmlns:mc="http://schemas.openxmlformats.org/markup-compatibility/2006" xmlns:a14="http://schemas.microsoft.com/office/drawing/2010/main">
      <mc:Choice Requires="a14">
        <xdr:graphicFrame macro="">
          <xdr:nvGraphicFramePr>
            <xdr:cNvPr id="147" name="Gender 1">
              <a:extLst>
                <a:ext uri="{FF2B5EF4-FFF2-40B4-BE49-F238E27FC236}">
                  <a16:creationId xmlns:a16="http://schemas.microsoft.com/office/drawing/2014/main" id="{02D2B567-1B7E-47FF-9390-1C9EFFAF450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172200" y="142873"/>
              <a:ext cx="1943099" cy="7048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342900</xdr:colOff>
      <xdr:row>0</xdr:row>
      <xdr:rowOff>104775</xdr:rowOff>
    </xdr:from>
    <xdr:to>
      <xdr:col>16</xdr:col>
      <xdr:colOff>342900</xdr:colOff>
      <xdr:row>2</xdr:row>
      <xdr:rowOff>19050</xdr:rowOff>
    </xdr:to>
    <xdr:sp macro="" textlink="">
      <xdr:nvSpPr>
        <xdr:cNvPr id="148" name="Rectangle 147">
          <a:extLst>
            <a:ext uri="{FF2B5EF4-FFF2-40B4-BE49-F238E27FC236}">
              <a16:creationId xmlns:a16="http://schemas.microsoft.com/office/drawing/2014/main" id="{370A6F35-0AEA-4BBC-8110-004EF08249B3}"/>
            </a:ext>
          </a:extLst>
        </xdr:cNvPr>
        <xdr:cNvSpPr/>
      </xdr:nvSpPr>
      <xdr:spPr>
        <a:xfrm>
          <a:off x="8267700" y="104775"/>
          <a:ext cx="1828800" cy="276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n>
                <a:noFill/>
              </a:ln>
              <a:solidFill>
                <a:schemeClr val="bg1">
                  <a:lumMod val="95000"/>
                </a:schemeClr>
              </a:solidFill>
            </a:rPr>
            <a:t>Filter</a:t>
          </a:r>
          <a:r>
            <a:rPr lang="en-US" sz="1400" baseline="0">
              <a:ln>
                <a:noFill/>
              </a:ln>
              <a:solidFill>
                <a:schemeClr val="bg1">
                  <a:lumMod val="95000"/>
                </a:schemeClr>
              </a:solidFill>
            </a:rPr>
            <a:t> by department</a:t>
          </a:r>
          <a:endParaRPr lang="en-US" sz="1400">
            <a:ln>
              <a:noFill/>
            </a:ln>
            <a:solidFill>
              <a:schemeClr val="bg1">
                <a:lumMod val="95000"/>
              </a:schemeClr>
            </a:solidFill>
          </a:endParaRPr>
        </a:p>
      </xdr:txBody>
    </xdr:sp>
    <xdr:clientData/>
  </xdr:twoCellAnchor>
  <xdr:twoCellAnchor>
    <xdr:from>
      <xdr:col>10</xdr:col>
      <xdr:colOff>142875</xdr:colOff>
      <xdr:row>0</xdr:row>
      <xdr:rowOff>133350</xdr:rowOff>
    </xdr:from>
    <xdr:to>
      <xdr:col>13</xdr:col>
      <xdr:colOff>142875</xdr:colOff>
      <xdr:row>2</xdr:row>
      <xdr:rowOff>57150</xdr:rowOff>
    </xdr:to>
    <xdr:sp macro="" textlink="">
      <xdr:nvSpPr>
        <xdr:cNvPr id="149" name="Rectangle 148">
          <a:extLst>
            <a:ext uri="{FF2B5EF4-FFF2-40B4-BE49-F238E27FC236}">
              <a16:creationId xmlns:a16="http://schemas.microsoft.com/office/drawing/2014/main" id="{2C8577B7-B80D-4C0E-B1CB-64F9E30BC174}"/>
            </a:ext>
          </a:extLst>
        </xdr:cNvPr>
        <xdr:cNvSpPr/>
      </xdr:nvSpPr>
      <xdr:spPr>
        <a:xfrm>
          <a:off x="6238875" y="133350"/>
          <a:ext cx="1828800"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n>
                <a:noFill/>
              </a:ln>
              <a:solidFill>
                <a:schemeClr val="bg1">
                  <a:lumMod val="95000"/>
                </a:schemeClr>
              </a:solidFill>
            </a:rPr>
            <a:t>Filter by gender</a:t>
          </a:r>
        </a:p>
      </xdr:txBody>
    </xdr:sp>
    <xdr:clientData/>
  </xdr:twoCellAnchor>
  <xdr:twoCellAnchor>
    <xdr:from>
      <xdr:col>13</xdr:col>
      <xdr:colOff>257369</xdr:colOff>
      <xdr:row>1</xdr:row>
      <xdr:rowOff>66674</xdr:rowOff>
    </xdr:from>
    <xdr:to>
      <xdr:col>13</xdr:col>
      <xdr:colOff>348809</xdr:colOff>
      <xdr:row>1</xdr:row>
      <xdr:rowOff>158114</xdr:rowOff>
    </xdr:to>
    <xdr:sp macro="" textlink="">
      <xdr:nvSpPr>
        <xdr:cNvPr id="150" name="Oval 149">
          <a:extLst>
            <a:ext uri="{FF2B5EF4-FFF2-40B4-BE49-F238E27FC236}">
              <a16:creationId xmlns:a16="http://schemas.microsoft.com/office/drawing/2014/main" id="{AC5FF9CF-E4A4-4C9C-AB99-BD682ED34D05}"/>
            </a:ext>
          </a:extLst>
        </xdr:cNvPr>
        <xdr:cNvSpPr/>
      </xdr:nvSpPr>
      <xdr:spPr>
        <a:xfrm flipH="1">
          <a:off x="8182169" y="247649"/>
          <a:ext cx="91440" cy="9144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64962</xdr:colOff>
      <xdr:row>1</xdr:row>
      <xdr:rowOff>66674</xdr:rowOff>
    </xdr:from>
    <xdr:to>
      <xdr:col>10</xdr:col>
      <xdr:colOff>156402</xdr:colOff>
      <xdr:row>1</xdr:row>
      <xdr:rowOff>158114</xdr:rowOff>
    </xdr:to>
    <xdr:sp macro="" textlink="">
      <xdr:nvSpPr>
        <xdr:cNvPr id="151" name="Oval 150">
          <a:extLst>
            <a:ext uri="{FF2B5EF4-FFF2-40B4-BE49-F238E27FC236}">
              <a16:creationId xmlns:a16="http://schemas.microsoft.com/office/drawing/2014/main" id="{B1AA5CF2-2D59-462E-8208-5C8E19696822}"/>
            </a:ext>
          </a:extLst>
        </xdr:cNvPr>
        <xdr:cNvSpPr/>
      </xdr:nvSpPr>
      <xdr:spPr>
        <a:xfrm flipH="1" flipV="1">
          <a:off x="6160962" y="247649"/>
          <a:ext cx="91440" cy="91440"/>
        </a:xfrm>
        <a:prstGeom prst="ellipse">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228601</xdr:colOff>
      <xdr:row>16</xdr:row>
      <xdr:rowOff>95252</xdr:rowOff>
    </xdr:from>
    <xdr:to>
      <xdr:col>10</xdr:col>
      <xdr:colOff>161925</xdr:colOff>
      <xdr:row>18</xdr:row>
      <xdr:rowOff>19052</xdr:rowOff>
    </xdr:to>
    <xdr:sp macro="" textlink="PivoteTable!L21">
      <xdr:nvSpPr>
        <xdr:cNvPr id="152" name="Rectangle 151">
          <a:extLst>
            <a:ext uri="{FF2B5EF4-FFF2-40B4-BE49-F238E27FC236}">
              <a16:creationId xmlns:a16="http://schemas.microsoft.com/office/drawing/2014/main" id="{8A7507B9-449C-466B-8804-52A4CEAB1965}"/>
            </a:ext>
          </a:extLst>
        </xdr:cNvPr>
        <xdr:cNvSpPr/>
      </xdr:nvSpPr>
      <xdr:spPr>
        <a:xfrm>
          <a:off x="5715001" y="2990852"/>
          <a:ext cx="542924"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AEC0AE7-EFF8-4FDE-9970-3D5740C75440}" type="TxLink">
            <a:rPr lang="en-US" sz="1600" b="0" i="0" u="none" strike="noStrike">
              <a:solidFill>
                <a:schemeClr val="bg1">
                  <a:lumMod val="95000"/>
                </a:schemeClr>
              </a:solidFill>
              <a:latin typeface="Kulim Park"/>
            </a:rPr>
            <a:pPr algn="l"/>
            <a:t>48%</a:t>
          </a:fld>
          <a:endParaRPr lang="en-US" sz="4000" b="1">
            <a:solidFill>
              <a:schemeClr val="bg1">
                <a:lumMod val="95000"/>
              </a:schemeClr>
            </a:solidFill>
          </a:endParaRPr>
        </a:p>
      </xdr:txBody>
    </xdr:sp>
    <xdr:clientData/>
  </xdr:twoCellAnchor>
  <xdr:twoCellAnchor editAs="oneCell">
    <xdr:from>
      <xdr:col>5</xdr:col>
      <xdr:colOff>190500</xdr:colOff>
      <xdr:row>0</xdr:row>
      <xdr:rowOff>0</xdr:rowOff>
    </xdr:from>
    <xdr:to>
      <xdr:col>7</xdr:col>
      <xdr:colOff>161925</xdr:colOff>
      <xdr:row>6</xdr:row>
      <xdr:rowOff>0</xdr:rowOff>
    </xdr:to>
    <xdr:pic>
      <xdr:nvPicPr>
        <xdr:cNvPr id="14" name="Picture 13">
          <a:extLst>
            <a:ext uri="{FF2B5EF4-FFF2-40B4-BE49-F238E27FC236}">
              <a16:creationId xmlns:a16="http://schemas.microsoft.com/office/drawing/2014/main" id="{AFC7002A-1C53-4AB8-9D08-05B5A949B385}"/>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238500" y="0"/>
          <a:ext cx="1190625" cy="10858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0.830823495373" createdVersion="7" refreshedVersion="7" minRefreshableVersion="3" recordCount="50" xr:uid="{A0EFB2CF-AC78-43CD-BBAC-BC3922B1BEE5}">
  <cacheSource type="worksheet">
    <worksheetSource ref="A1:U51" sheet="Data"/>
  </cacheSource>
  <cacheFields count="21">
    <cacheField name="Employee ID" numFmtId="0">
      <sharedItems containsSemiMixedTypes="0" containsString="0" containsNumber="1" containsInteger="1" minValue="1550" maxValue="9968"/>
    </cacheField>
    <cacheField name="Full Name" numFmtId="0">
      <sharedItems/>
    </cacheField>
    <cacheField name="Gender" numFmtId="0">
      <sharedItems count="2">
        <s v="Female"/>
        <s v="Male"/>
      </sharedItems>
    </cacheField>
    <cacheField name="Age" numFmtId="0">
      <sharedItems containsMixedTypes="1" containsNumber="1" containsInteger="1" minValue="20" maxValue="60" count="37">
        <n v="25"/>
        <n v="27"/>
        <n v="34"/>
        <n v="41"/>
        <n v="56"/>
        <n v="28"/>
        <n v="20"/>
        <n v="58"/>
        <n v="44"/>
        <n v="29"/>
        <n v="23"/>
        <n v="30"/>
        <n v="49"/>
        <n v="60"/>
        <n v="46"/>
        <n v="57"/>
        <n v="24"/>
        <n v="35"/>
        <n v="36"/>
        <n v="31"/>
        <n v="37"/>
        <n v="48"/>
        <n v="45"/>
        <n v="52"/>
        <n v="42"/>
        <n v="21"/>
        <n v="59"/>
        <s v="Formula4" f="1"/>
        <s v="Formula9" f="1"/>
        <s v="Formula3" f="1"/>
        <s v="Formula8" f="1"/>
        <s v="Formula2" f="1"/>
        <s v="Formula7" f="1"/>
        <s v="Formula1" f="1"/>
        <s v="Formula6" f="1"/>
        <s v="Formula10" f="1"/>
        <s v="Formula5" f="1"/>
      </sharedItems>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1">
      <sharedItems containsSemiMixedTypes="0" containsString="0" containsNumber="1" containsInteger="1" minValue="1" maxValue="5" count="5">
        <n v="1"/>
        <n v="4"/>
        <n v="2"/>
        <n v="3"/>
        <n v="5"/>
      </sharedItems>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calculatedItems count="10">
    <calculatedItem>
      <pivotArea cacheIndex="1" outline="0" fieldPosition="0">
        <references count="1">
          <reference field="3" count="1">
            <x v="33"/>
          </reference>
        </references>
      </pivotArea>
    </calculatedItem>
    <calculatedItem>
      <pivotArea cacheIndex="1" outline="0" fieldPosition="0">
        <references count="1">
          <reference field="3" count="1">
            <x v="31"/>
          </reference>
        </references>
      </pivotArea>
    </calculatedItem>
    <calculatedItem>
      <pivotArea cacheIndex="1" outline="0" fieldPosition="0">
        <references count="1">
          <reference field="3" count="1">
            <x v="29"/>
          </reference>
        </references>
      </pivotArea>
    </calculatedItem>
    <calculatedItem>
      <pivotArea cacheIndex="1" outline="0" fieldPosition="0">
        <references count="1">
          <reference field="3" count="1">
            <x v="27"/>
          </reference>
        </references>
      </pivotArea>
    </calculatedItem>
    <calculatedItem>
      <pivotArea cacheIndex="1" outline="0" fieldPosition="0">
        <references count="1">
          <reference field="3" count="1">
            <x v="36"/>
          </reference>
        </references>
      </pivotArea>
    </calculatedItem>
    <calculatedItem>
      <pivotArea cacheIndex="1" outline="0" fieldPosition="0">
        <references count="1">
          <reference field="3" count="1">
            <x v="34"/>
          </reference>
        </references>
      </pivotArea>
    </calculatedItem>
    <calculatedItem>
      <pivotArea cacheIndex="1" outline="0" fieldPosition="0">
        <references count="1">
          <reference field="3" count="1">
            <x v="32"/>
          </reference>
        </references>
      </pivotArea>
    </calculatedItem>
    <calculatedItem>
      <pivotArea cacheIndex="1" outline="0" fieldPosition="0">
        <references count="1">
          <reference field="3" count="1">
            <x v="30"/>
          </reference>
        </references>
      </pivotArea>
    </calculatedItem>
    <calculatedItem>
      <pivotArea cacheIndex="1" outline="0" fieldPosition="0">
        <references count="1">
          <reference field="3" count="1">
            <x v="28"/>
          </reference>
        </references>
      </pivotArea>
    </calculatedItem>
    <calculatedItem>
      <pivotArea cacheIndex="1" outline="0" fieldPosition="0">
        <references count="1">
          <reference field="3" count="1">
            <x v="35"/>
          </reference>
        </references>
      </pivotArea>
    </calculatedItem>
  </calculatedItems>
  <extLst>
    <ext xmlns:x14="http://schemas.microsoft.com/office/spreadsheetml/2009/9/main" uri="{725AE2AE-9491-48be-B2B4-4EB974FC3084}">
      <x14:pivotCacheDefinition pivotCacheId="16657493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s v="Lori Nguyen"/>
    <x v="0"/>
    <x v="0"/>
    <x v="0"/>
    <x v="0"/>
    <x v="0"/>
    <x v="0"/>
    <s v="Luis Reynolds"/>
    <s v="2019-03-15"/>
    <x v="0"/>
    <x v="0"/>
    <n v="53700"/>
    <s v="C"/>
    <n v="1463"/>
    <s v="Health"/>
    <n v="1"/>
    <x v="0"/>
    <s v="Leadership Training"/>
    <x v="0"/>
    <s v="Certified Professional"/>
  </r>
  <r>
    <n v="9116"/>
    <s v="Gary Garcia"/>
    <x v="1"/>
    <x v="1"/>
    <x v="1"/>
    <x v="1"/>
    <x v="1"/>
    <x v="1"/>
    <s v="Ashley Simmons MD"/>
    <s v="2022-12-20"/>
    <x v="0"/>
    <x v="1"/>
    <n v="91091"/>
    <s v="B"/>
    <n v="1024"/>
    <s v="None"/>
    <n v="19"/>
    <x v="1"/>
    <s v="Excel Workshop"/>
    <x v="0"/>
    <s v="Certified Professional"/>
  </r>
  <r>
    <n v="5120"/>
    <s v="Jeremy Nguyen"/>
    <x v="1"/>
    <x v="2"/>
    <x v="1"/>
    <x v="2"/>
    <x v="2"/>
    <x v="2"/>
    <s v="Cassandra Duncan"/>
    <s v="2022-08-10"/>
    <x v="0"/>
    <x v="2"/>
    <n v="57538"/>
    <s v="D"/>
    <n v="1674"/>
    <s v="None"/>
    <n v="8"/>
    <x v="0"/>
    <s v="None"/>
    <x v="1"/>
    <s v="Advanced Training"/>
  </r>
  <r>
    <n v="8071"/>
    <s v="Kimberly Jones"/>
    <x v="0"/>
    <x v="3"/>
    <x v="2"/>
    <x v="2"/>
    <x v="0"/>
    <x v="3"/>
    <s v="Janet Harris"/>
    <s v="2024-09-03"/>
    <x v="1"/>
    <x v="0"/>
    <n v="62993"/>
    <s v="A"/>
    <n v="2695"/>
    <s v="Health + Dental"/>
    <n v="0"/>
    <x v="2"/>
    <s v="None"/>
    <x v="2"/>
    <s v="None"/>
  </r>
  <r>
    <n v="9351"/>
    <s v="Anthony Gates"/>
    <x v="1"/>
    <x v="4"/>
    <x v="3"/>
    <x v="0"/>
    <x v="0"/>
    <x v="2"/>
    <s v="Mr. Frank Clay"/>
    <s v="2019-03-14"/>
    <x v="1"/>
    <x v="1"/>
    <n v="45773"/>
    <s v="A"/>
    <n v="8776"/>
    <s v="Health"/>
    <n v="16"/>
    <x v="1"/>
    <s v="Leadership Training"/>
    <x v="2"/>
    <s v="None"/>
  </r>
  <r>
    <n v="2873"/>
    <s v="Courtney Foster"/>
    <x v="0"/>
    <x v="5"/>
    <x v="1"/>
    <x v="2"/>
    <x v="3"/>
    <x v="2"/>
    <s v="Dorothy Price"/>
    <s v="2017-01-23"/>
    <x v="0"/>
    <x v="1"/>
    <n v="96249"/>
    <s v="C"/>
    <n v="4826"/>
    <s v="Health + Dental"/>
    <n v="7"/>
    <x v="3"/>
    <s v="Leadership Training"/>
    <x v="3"/>
    <s v="Certified Professional"/>
  </r>
  <r>
    <n v="3540"/>
    <s v="Catherine Hall"/>
    <x v="0"/>
    <x v="6"/>
    <x v="0"/>
    <x v="1"/>
    <x v="2"/>
    <x v="2"/>
    <s v="Michele Sexton"/>
    <s v="2024-08-17"/>
    <x v="0"/>
    <x v="2"/>
    <n v="61596"/>
    <s v="C"/>
    <n v="8818"/>
    <s v="Health + Dental"/>
    <n v="4"/>
    <x v="2"/>
    <s v="Leadership Training"/>
    <x v="1"/>
    <s v="None"/>
  </r>
  <r>
    <n v="3653"/>
    <s v="Deanna Ball"/>
    <x v="0"/>
    <x v="7"/>
    <x v="3"/>
    <x v="3"/>
    <x v="1"/>
    <x v="4"/>
    <s v="Richard Schmidt"/>
    <s v="2014-12-09"/>
    <x v="0"/>
    <x v="2"/>
    <n v="97869"/>
    <s v="A"/>
    <n v="1966"/>
    <s v="Health"/>
    <n v="10"/>
    <x v="0"/>
    <s v="Leadership Training"/>
    <x v="0"/>
    <s v="Certified Professional"/>
  </r>
  <r>
    <n v="5587"/>
    <s v="Candace Nelson"/>
    <x v="0"/>
    <x v="8"/>
    <x v="2"/>
    <x v="3"/>
    <x v="2"/>
    <x v="2"/>
    <s v="Teresa Pearson"/>
    <s v="2021-06-28"/>
    <x v="0"/>
    <x v="0"/>
    <n v="81235"/>
    <s v="A"/>
    <n v="6553"/>
    <s v="None"/>
    <n v="16"/>
    <x v="2"/>
    <s v="None"/>
    <x v="1"/>
    <s v="Certified Professional"/>
  </r>
  <r>
    <n v="9554"/>
    <s v="Mandy Davis"/>
    <x v="0"/>
    <x v="9"/>
    <x v="1"/>
    <x v="1"/>
    <x v="2"/>
    <x v="3"/>
    <s v="Laura Hart"/>
    <s v="2018-05-20"/>
    <x v="0"/>
    <x v="1"/>
    <n v="87852"/>
    <s v="A"/>
    <n v="4980"/>
    <s v="Health + Dental"/>
    <n v="19"/>
    <x v="3"/>
    <s v="None"/>
    <x v="2"/>
    <s v="Certified Professional"/>
  </r>
  <r>
    <n v="6213"/>
    <s v="Matthew Powell"/>
    <x v="1"/>
    <x v="10"/>
    <x v="0"/>
    <x v="3"/>
    <x v="0"/>
    <x v="2"/>
    <s v="Andrea May"/>
    <s v="2017-02-13"/>
    <x v="1"/>
    <x v="1"/>
    <n v="59359"/>
    <s v="A"/>
    <n v="9449"/>
    <s v="Health + Dental"/>
    <n v="20"/>
    <x v="3"/>
    <s v="None"/>
    <x v="1"/>
    <s v="None"/>
  </r>
  <r>
    <n v="9105"/>
    <s v="Bruce Nelson"/>
    <x v="1"/>
    <x v="11"/>
    <x v="1"/>
    <x v="0"/>
    <x v="1"/>
    <x v="0"/>
    <s v="Casey Martin"/>
    <s v="2024-05-05"/>
    <x v="1"/>
    <x v="2"/>
    <n v="81225"/>
    <s v="D"/>
    <n v="6202"/>
    <s v="Health + Dental"/>
    <n v="2"/>
    <x v="2"/>
    <s v="Excel Workshop"/>
    <x v="4"/>
    <s v="Certified Professional"/>
  </r>
  <r>
    <n v="9508"/>
    <s v="Dawn Cole"/>
    <x v="0"/>
    <x v="12"/>
    <x v="4"/>
    <x v="1"/>
    <x v="0"/>
    <x v="0"/>
    <s v="Amber Allen"/>
    <s v="2022-04-19"/>
    <x v="1"/>
    <x v="0"/>
    <n v="32788"/>
    <s v="D"/>
    <n v="4396"/>
    <s v="Health"/>
    <n v="13"/>
    <x v="4"/>
    <s v="None"/>
    <x v="3"/>
    <s v="Advanced Training"/>
  </r>
  <r>
    <n v="2436"/>
    <s v="Tanner Morse"/>
    <x v="1"/>
    <x v="13"/>
    <x v="3"/>
    <x v="4"/>
    <x v="0"/>
    <x v="3"/>
    <s v="Adam Johnson"/>
    <s v="2015-11-16"/>
    <x v="1"/>
    <x v="2"/>
    <n v="70452"/>
    <s v="D"/>
    <n v="9911"/>
    <s v="None"/>
    <n v="2"/>
    <x v="0"/>
    <s v="None"/>
    <x v="3"/>
    <s v="Certified Professional"/>
  </r>
  <r>
    <n v="4441"/>
    <s v="Jose Griffin"/>
    <x v="1"/>
    <x v="14"/>
    <x v="4"/>
    <x v="1"/>
    <x v="3"/>
    <x v="0"/>
    <s v="Nicole Dominguez"/>
    <s v="2023-09-09"/>
    <x v="0"/>
    <x v="1"/>
    <n v="33045"/>
    <s v="B"/>
    <n v="1456"/>
    <s v="None"/>
    <n v="16"/>
    <x v="3"/>
    <s v="Excel Workshop"/>
    <x v="3"/>
    <s v="None"/>
  </r>
  <r>
    <n v="5827"/>
    <s v="Daniel Hawkins"/>
    <x v="1"/>
    <x v="15"/>
    <x v="3"/>
    <x v="2"/>
    <x v="3"/>
    <x v="1"/>
    <s v="Andrew Best"/>
    <s v="2017-12-12"/>
    <x v="2"/>
    <x v="2"/>
    <n v="96429"/>
    <s v="C"/>
    <n v="4740"/>
    <s v="None"/>
    <n v="8"/>
    <x v="0"/>
    <s v="Excel Workshop"/>
    <x v="2"/>
    <s v="None"/>
  </r>
  <r>
    <n v="5184"/>
    <s v="Elaine Mcclain"/>
    <x v="0"/>
    <x v="16"/>
    <x v="0"/>
    <x v="1"/>
    <x v="2"/>
    <x v="2"/>
    <s v="Gabrielle Rodriguez"/>
    <s v="2017-03-10"/>
    <x v="2"/>
    <x v="2"/>
    <n v="33183"/>
    <s v="A"/>
    <n v="8114"/>
    <s v="None"/>
    <n v="4"/>
    <x v="2"/>
    <s v="Excel Workshop"/>
    <x v="4"/>
    <s v="Advanced Training"/>
  </r>
  <r>
    <n v="5874"/>
    <s v="Kimberly Jones"/>
    <x v="0"/>
    <x v="17"/>
    <x v="1"/>
    <x v="4"/>
    <x v="3"/>
    <x v="0"/>
    <s v="Allison Harvey"/>
    <s v="2019-03-04"/>
    <x v="2"/>
    <x v="0"/>
    <n v="75065"/>
    <s v="C"/>
    <n v="7123"/>
    <s v="None"/>
    <n v="20"/>
    <x v="2"/>
    <s v="None"/>
    <x v="0"/>
    <s v="Advanced Training"/>
  </r>
  <r>
    <n v="9834"/>
    <s v="Thomas Kramer"/>
    <x v="1"/>
    <x v="3"/>
    <x v="2"/>
    <x v="1"/>
    <x v="1"/>
    <x v="4"/>
    <s v="Tristan Mejia"/>
    <s v="2022-11-20"/>
    <x v="0"/>
    <x v="2"/>
    <n v="32877"/>
    <s v="C"/>
    <n v="6432"/>
    <s v="Health"/>
    <n v="11"/>
    <x v="0"/>
    <s v="None"/>
    <x v="0"/>
    <s v="None"/>
  </r>
  <r>
    <n v="5096"/>
    <s v="Kevin Whitaker"/>
    <x v="1"/>
    <x v="18"/>
    <x v="2"/>
    <x v="1"/>
    <x v="4"/>
    <x v="3"/>
    <s v="Mary Welch"/>
    <s v="2021-03-02"/>
    <x v="0"/>
    <x v="1"/>
    <n v="46811"/>
    <s v="D"/>
    <n v="1567"/>
    <s v="None"/>
    <n v="7"/>
    <x v="3"/>
    <s v="Excel Workshop"/>
    <x v="0"/>
    <s v="Advanced Training"/>
  </r>
  <r>
    <n v="2263"/>
    <s v="Dustin Carter"/>
    <x v="1"/>
    <x v="19"/>
    <x v="1"/>
    <x v="3"/>
    <x v="2"/>
    <x v="1"/>
    <s v="Douglas Miles"/>
    <s v="2021-08-01"/>
    <x v="1"/>
    <x v="1"/>
    <n v="87538"/>
    <s v="C"/>
    <n v="3588"/>
    <s v="Health + Dental"/>
    <n v="11"/>
    <x v="4"/>
    <s v="Excel Workshop"/>
    <x v="2"/>
    <s v="None"/>
  </r>
  <r>
    <n v="6505"/>
    <s v="Nicole Williamson"/>
    <x v="0"/>
    <x v="5"/>
    <x v="1"/>
    <x v="0"/>
    <x v="1"/>
    <x v="4"/>
    <s v="Jessica Fleming"/>
    <s v="2015-08-14"/>
    <x v="0"/>
    <x v="1"/>
    <n v="73002"/>
    <s v="C"/>
    <n v="6296"/>
    <s v="Health"/>
    <n v="2"/>
    <x v="4"/>
    <s v="Excel Workshop"/>
    <x v="1"/>
    <s v="Certified Professional"/>
  </r>
  <r>
    <n v="8626"/>
    <s v="Matthew Knight"/>
    <x v="1"/>
    <x v="20"/>
    <x v="2"/>
    <x v="3"/>
    <x v="1"/>
    <x v="3"/>
    <s v="Christine Lee"/>
    <s v="2015-10-21"/>
    <x v="2"/>
    <x v="2"/>
    <n v="41653"/>
    <s v="D"/>
    <n v="9236"/>
    <s v="None"/>
    <n v="13"/>
    <x v="0"/>
    <s v="Excel Workshop"/>
    <x v="0"/>
    <s v="None"/>
  </r>
  <r>
    <n v="5979"/>
    <s v="Donna Jones"/>
    <x v="0"/>
    <x v="19"/>
    <x v="1"/>
    <x v="0"/>
    <x v="0"/>
    <x v="2"/>
    <s v="Mario Smith DVM"/>
    <s v="2015-03-14"/>
    <x v="1"/>
    <x v="1"/>
    <n v="67582"/>
    <s v="A"/>
    <n v="1375"/>
    <s v="Health"/>
    <n v="20"/>
    <x v="3"/>
    <s v="Excel Workshop"/>
    <x v="1"/>
    <s v="None"/>
  </r>
  <r>
    <n v="3104"/>
    <s v="Carolyn Bullock"/>
    <x v="0"/>
    <x v="10"/>
    <x v="0"/>
    <x v="3"/>
    <x v="1"/>
    <x v="1"/>
    <s v="Joseph Francis"/>
    <s v="2024-05-22"/>
    <x v="2"/>
    <x v="1"/>
    <n v="37351"/>
    <s v="D"/>
    <n v="7858"/>
    <s v="Health + Dental"/>
    <n v="18"/>
    <x v="2"/>
    <s v="Leadership Training"/>
    <x v="1"/>
    <s v="Advanced Training"/>
  </r>
  <r>
    <n v="8967"/>
    <s v="Wendy Gomez"/>
    <x v="0"/>
    <x v="21"/>
    <x v="4"/>
    <x v="4"/>
    <x v="2"/>
    <x v="0"/>
    <s v="Sarah Young"/>
    <s v="2017-03-19"/>
    <x v="0"/>
    <x v="1"/>
    <n v="36721"/>
    <s v="B"/>
    <n v="8820"/>
    <s v="Health + Dental"/>
    <n v="0"/>
    <x v="2"/>
    <s v="Excel Workshop"/>
    <x v="1"/>
    <s v="Certified Professional"/>
  </r>
  <r>
    <n v="5087"/>
    <s v="Michael Thomas"/>
    <x v="1"/>
    <x v="5"/>
    <x v="1"/>
    <x v="2"/>
    <x v="4"/>
    <x v="0"/>
    <s v="Aaron Hart"/>
    <s v="2021-09-15"/>
    <x v="1"/>
    <x v="2"/>
    <n v="46326"/>
    <s v="B"/>
    <n v="9189"/>
    <s v="Health + Dental"/>
    <n v="8"/>
    <x v="1"/>
    <s v="Leadership Training"/>
    <x v="3"/>
    <s v="Advanced Training"/>
  </r>
  <r>
    <n v="3358"/>
    <s v="Kevin Bell"/>
    <x v="1"/>
    <x v="11"/>
    <x v="1"/>
    <x v="1"/>
    <x v="3"/>
    <x v="1"/>
    <s v="Brian Boyd"/>
    <s v="2022-05-09"/>
    <x v="0"/>
    <x v="0"/>
    <n v="59007"/>
    <s v="C"/>
    <n v="3380"/>
    <s v="Health"/>
    <n v="17"/>
    <x v="3"/>
    <s v="None"/>
    <x v="4"/>
    <s v="Certified Professional"/>
  </r>
  <r>
    <n v="8256"/>
    <s v="Richard Landry"/>
    <x v="1"/>
    <x v="14"/>
    <x v="4"/>
    <x v="3"/>
    <x v="0"/>
    <x v="3"/>
    <s v="Steven Krueger"/>
    <s v="2017-06-22"/>
    <x v="0"/>
    <x v="1"/>
    <n v="52020"/>
    <s v="B"/>
    <n v="9585"/>
    <s v="Health + Dental"/>
    <n v="0"/>
    <x v="1"/>
    <s v="Excel Workshop"/>
    <x v="4"/>
    <s v="None"/>
  </r>
  <r>
    <n v="5763"/>
    <s v="George Hurley"/>
    <x v="1"/>
    <x v="8"/>
    <x v="2"/>
    <x v="1"/>
    <x v="2"/>
    <x v="1"/>
    <s v="Debra Williams"/>
    <s v="2020-11-28"/>
    <x v="2"/>
    <x v="1"/>
    <n v="98961"/>
    <s v="D"/>
    <n v="2688"/>
    <s v="Health"/>
    <n v="2"/>
    <x v="4"/>
    <s v="Excel Workshop"/>
    <x v="4"/>
    <s v="Certified Professional"/>
  </r>
  <r>
    <n v="6838"/>
    <s v="Mark Lopez"/>
    <x v="1"/>
    <x v="22"/>
    <x v="2"/>
    <x v="2"/>
    <x v="3"/>
    <x v="2"/>
    <s v="Karen Mitchell"/>
    <s v="2015-08-30"/>
    <x v="2"/>
    <x v="1"/>
    <n v="81943"/>
    <s v="C"/>
    <n v="2255"/>
    <s v="Health"/>
    <n v="18"/>
    <x v="2"/>
    <s v="None"/>
    <x v="2"/>
    <s v="Certified Professional"/>
  </r>
  <r>
    <n v="9544"/>
    <s v="Robert Williams"/>
    <x v="1"/>
    <x v="23"/>
    <x v="4"/>
    <x v="4"/>
    <x v="2"/>
    <x v="1"/>
    <s v="Joseph Sanders"/>
    <s v="2018-10-27"/>
    <x v="2"/>
    <x v="1"/>
    <n v="47627"/>
    <s v="C"/>
    <n v="1221"/>
    <s v="None"/>
    <n v="4"/>
    <x v="3"/>
    <s v="None"/>
    <x v="1"/>
    <s v="None"/>
  </r>
  <r>
    <n v="8012"/>
    <s v="Mary Schmidt"/>
    <x v="0"/>
    <x v="23"/>
    <x v="4"/>
    <x v="0"/>
    <x v="0"/>
    <x v="4"/>
    <s v="Shelly George"/>
    <s v="2018-08-26"/>
    <x v="2"/>
    <x v="1"/>
    <n v="56162"/>
    <s v="D"/>
    <n v="6560"/>
    <s v="Health + Dental"/>
    <n v="9"/>
    <x v="1"/>
    <s v="Excel Workshop"/>
    <x v="3"/>
    <s v="None"/>
  </r>
  <r>
    <n v="9374"/>
    <s v="Mary Martinez"/>
    <x v="0"/>
    <x v="24"/>
    <x v="2"/>
    <x v="1"/>
    <x v="2"/>
    <x v="2"/>
    <s v="Nicole Houston"/>
    <s v="2023-07-24"/>
    <x v="1"/>
    <x v="2"/>
    <n v="95734"/>
    <s v="C"/>
    <n v="4854"/>
    <s v="Health"/>
    <n v="13"/>
    <x v="2"/>
    <s v="Leadership Training"/>
    <x v="0"/>
    <s v="Certified Professional"/>
  </r>
  <r>
    <n v="3487"/>
    <s v="Paul Hall"/>
    <x v="1"/>
    <x v="7"/>
    <x v="3"/>
    <x v="1"/>
    <x v="1"/>
    <x v="3"/>
    <s v="Kristin Shaffer"/>
    <s v="2018-07-09"/>
    <x v="1"/>
    <x v="2"/>
    <n v="74789"/>
    <s v="C"/>
    <n v="8101"/>
    <s v="Health + Dental"/>
    <n v="14"/>
    <x v="4"/>
    <s v="Excel Workshop"/>
    <x v="2"/>
    <s v="None"/>
  </r>
  <r>
    <n v="8445"/>
    <s v="Samantha Foster"/>
    <x v="0"/>
    <x v="16"/>
    <x v="0"/>
    <x v="4"/>
    <x v="0"/>
    <x v="3"/>
    <s v="Joel Aguilar"/>
    <s v="2016-12-21"/>
    <x v="0"/>
    <x v="2"/>
    <n v="30137"/>
    <s v="B"/>
    <n v="4031"/>
    <s v="None"/>
    <n v="5"/>
    <x v="3"/>
    <s v="None"/>
    <x v="1"/>
    <s v="Certified Professional"/>
  </r>
  <r>
    <n v="1550"/>
    <s v="Timothy Aguilar"/>
    <x v="1"/>
    <x v="25"/>
    <x v="0"/>
    <x v="1"/>
    <x v="0"/>
    <x v="0"/>
    <s v="Michael Wade"/>
    <s v="2019-06-27"/>
    <x v="0"/>
    <x v="2"/>
    <n v="95510"/>
    <s v="C"/>
    <n v="6811"/>
    <s v="Health"/>
    <n v="18"/>
    <x v="1"/>
    <s v="Excel Workshop"/>
    <x v="4"/>
    <s v="Certified Professional"/>
  </r>
  <r>
    <n v="9968"/>
    <s v="Charles Andrews"/>
    <x v="1"/>
    <x v="7"/>
    <x v="3"/>
    <x v="1"/>
    <x v="3"/>
    <x v="0"/>
    <s v="Jessica Walsh"/>
    <s v="2021-08-27"/>
    <x v="1"/>
    <x v="0"/>
    <n v="80325"/>
    <s v="B"/>
    <n v="6230"/>
    <s v="Health"/>
    <n v="5"/>
    <x v="1"/>
    <s v="None"/>
    <x v="2"/>
    <s v="Advanced Training"/>
  </r>
  <r>
    <n v="8029"/>
    <s v="Veronica Nelson"/>
    <x v="0"/>
    <x v="15"/>
    <x v="3"/>
    <x v="3"/>
    <x v="4"/>
    <x v="4"/>
    <s v="Kelly Mack"/>
    <s v="2017-05-28"/>
    <x v="2"/>
    <x v="1"/>
    <n v="34109"/>
    <s v="B"/>
    <n v="9232"/>
    <s v="Health"/>
    <n v="13"/>
    <x v="3"/>
    <s v="Leadership Training"/>
    <x v="0"/>
    <s v="Certified Professional"/>
  </r>
  <r>
    <n v="8847"/>
    <s v="Chris Sanchez"/>
    <x v="1"/>
    <x v="3"/>
    <x v="2"/>
    <x v="3"/>
    <x v="3"/>
    <x v="0"/>
    <s v="John Conley"/>
    <s v="2022-01-30"/>
    <x v="2"/>
    <x v="2"/>
    <n v="73330"/>
    <s v="C"/>
    <n v="2276"/>
    <s v="Health + Dental"/>
    <n v="5"/>
    <x v="0"/>
    <s v="None"/>
    <x v="1"/>
    <s v="Advanced Training"/>
  </r>
  <r>
    <n v="1955"/>
    <s v="Cassie Galvan"/>
    <x v="0"/>
    <x v="7"/>
    <x v="3"/>
    <x v="2"/>
    <x v="2"/>
    <x v="1"/>
    <s v="Aaron Baker"/>
    <s v="2017-04-20"/>
    <x v="1"/>
    <x v="2"/>
    <n v="46567"/>
    <s v="A"/>
    <n v="2825"/>
    <s v="Health"/>
    <n v="15"/>
    <x v="3"/>
    <s v="None"/>
    <x v="4"/>
    <s v="Advanced Training"/>
  </r>
  <r>
    <n v="4522"/>
    <s v="Jessica Jones"/>
    <x v="0"/>
    <x v="18"/>
    <x v="2"/>
    <x v="0"/>
    <x v="4"/>
    <x v="0"/>
    <s v="Christopher Bass"/>
    <s v="2019-07-22"/>
    <x v="1"/>
    <x v="1"/>
    <n v="39795"/>
    <s v="A"/>
    <n v="1670"/>
    <s v="None"/>
    <n v="0"/>
    <x v="2"/>
    <s v="Excel Workshop"/>
    <x v="3"/>
    <s v="None"/>
  </r>
  <r>
    <n v="3078"/>
    <s v="Emily Walker"/>
    <x v="0"/>
    <x v="25"/>
    <x v="0"/>
    <x v="0"/>
    <x v="0"/>
    <x v="4"/>
    <s v="Sean Tucker PhD"/>
    <s v="2018-11-29"/>
    <x v="1"/>
    <x v="2"/>
    <n v="59506"/>
    <s v="A"/>
    <n v="4428"/>
    <s v="Health + Dental"/>
    <n v="0"/>
    <x v="0"/>
    <s v="None"/>
    <x v="3"/>
    <s v="Certified Professional"/>
  </r>
  <r>
    <n v="6357"/>
    <s v="Vickie Lewis"/>
    <x v="0"/>
    <x v="14"/>
    <x v="4"/>
    <x v="2"/>
    <x v="1"/>
    <x v="4"/>
    <s v="Jacob Scott"/>
    <s v="2022-11-14"/>
    <x v="1"/>
    <x v="2"/>
    <n v="49058"/>
    <s v="B"/>
    <n v="4396"/>
    <s v="None"/>
    <n v="5"/>
    <x v="0"/>
    <s v="None"/>
    <x v="3"/>
    <s v="None"/>
  </r>
  <r>
    <n v="7951"/>
    <s v="Alexis Clark"/>
    <x v="0"/>
    <x v="18"/>
    <x v="2"/>
    <x v="3"/>
    <x v="2"/>
    <x v="4"/>
    <s v="Joel Park"/>
    <s v="2016-02-23"/>
    <x v="1"/>
    <x v="0"/>
    <n v="98612"/>
    <s v="A"/>
    <n v="1168"/>
    <s v="None"/>
    <n v="9"/>
    <x v="2"/>
    <s v="Excel Workshop"/>
    <x v="0"/>
    <s v="Certified Professional"/>
  </r>
  <r>
    <n v="9228"/>
    <s v="Robert Davis"/>
    <x v="1"/>
    <x v="3"/>
    <x v="2"/>
    <x v="4"/>
    <x v="3"/>
    <x v="1"/>
    <s v="Russell Marshall"/>
    <s v="2018-05-18"/>
    <x v="2"/>
    <x v="1"/>
    <n v="38201"/>
    <s v="A"/>
    <n v="7111"/>
    <s v="Health"/>
    <n v="8"/>
    <x v="1"/>
    <s v="Leadership Training"/>
    <x v="3"/>
    <s v="None"/>
  </r>
  <r>
    <n v="8988"/>
    <s v="Daniel Brown MD"/>
    <x v="1"/>
    <x v="0"/>
    <x v="0"/>
    <x v="0"/>
    <x v="2"/>
    <x v="2"/>
    <s v="James Holden"/>
    <s v="2024-03-09"/>
    <x v="2"/>
    <x v="1"/>
    <n v="92919"/>
    <s v="D"/>
    <n v="9497"/>
    <s v="Health"/>
    <n v="7"/>
    <x v="2"/>
    <s v="None"/>
    <x v="3"/>
    <s v="Advanced Training"/>
  </r>
  <r>
    <n v="1952"/>
    <s v="Anna Payne"/>
    <x v="0"/>
    <x v="9"/>
    <x v="1"/>
    <x v="4"/>
    <x v="0"/>
    <x v="1"/>
    <s v="Thomas Murphy"/>
    <s v="2024-03-27"/>
    <x v="0"/>
    <x v="2"/>
    <n v="45188"/>
    <s v="A"/>
    <n v="9591"/>
    <s v="Health + Dental"/>
    <n v="18"/>
    <x v="3"/>
    <s v="Leadership Training"/>
    <x v="3"/>
    <s v="None"/>
  </r>
  <r>
    <n v="5760"/>
    <s v="Rhonda Pena"/>
    <x v="0"/>
    <x v="26"/>
    <x v="3"/>
    <x v="2"/>
    <x v="1"/>
    <x v="0"/>
    <s v="Mark Abbott"/>
    <s v="2019-12-23"/>
    <x v="0"/>
    <x v="1"/>
    <n v="34927"/>
    <s v="D"/>
    <n v="6996"/>
    <s v="Health + Dental"/>
    <n v="16"/>
    <x v="0"/>
    <s v="Excel Workshop"/>
    <x v="0"/>
    <s v="Certified Professional"/>
  </r>
  <r>
    <n v="5742"/>
    <s v="Nicole Gonzalez"/>
    <x v="0"/>
    <x v="1"/>
    <x v="1"/>
    <x v="0"/>
    <x v="2"/>
    <x v="3"/>
    <s v="Robin Lynch"/>
    <s v="2016-08-25"/>
    <x v="0"/>
    <x v="1"/>
    <n v="33183"/>
    <s v="A"/>
    <n v="1659"/>
    <s v="None"/>
    <n v="11"/>
    <x v="0"/>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FCC60B-B620-4492-99CC-104C4B14AB03}" name="WorkPlac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4:O8" firstHeaderRow="1" firstDataRow="1" firstDataCol="1"/>
  <pivotFields count="21">
    <pivotField showAll="0"/>
    <pivotField dataField="1" showAll="0"/>
    <pivotField showAll="0">
      <items count="3">
        <item x="0"/>
        <item x="1"/>
        <item t="default"/>
      </items>
    </pivotField>
    <pivotField showAll="0">
      <items count="38">
        <item x="6"/>
        <item x="25"/>
        <item x="10"/>
        <item x="16"/>
        <item x="0"/>
        <item x="1"/>
        <item x="5"/>
        <item x="9"/>
        <item x="11"/>
        <item x="19"/>
        <item x="2"/>
        <item x="17"/>
        <item x="18"/>
        <item x="20"/>
        <item x="3"/>
        <item x="24"/>
        <item x="8"/>
        <item x="22"/>
        <item x="14"/>
        <item x="21"/>
        <item x="12"/>
        <item x="23"/>
        <item x="4"/>
        <item x="15"/>
        <item x="7"/>
        <item x="26"/>
        <item x="13"/>
        <item f="1" x="33"/>
        <item f="1" x="35"/>
        <item f="1" x="31"/>
        <item f="1" x="29"/>
        <item f="1" x="27"/>
        <item f="1" x="36"/>
        <item f="1" x="34"/>
        <item f="1" x="32"/>
        <item f="1" x="30"/>
        <item f="1" x="28"/>
        <item t="default"/>
      </items>
    </pivotField>
    <pivotField showAll="0"/>
    <pivotField showAll="0"/>
    <pivotField showAll="0">
      <items count="6">
        <item x="4"/>
        <item x="1"/>
        <item x="3"/>
        <item x="2"/>
        <item x="0"/>
        <item t="default"/>
      </items>
    </pivotField>
    <pivotField showAll="0">
      <items count="6">
        <item x="0"/>
        <item x="1"/>
        <item x="4"/>
        <item x="2"/>
        <item x="3"/>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formats count="12">
    <format dxfId="851">
      <pivotArea type="all" dataOnly="0" outline="0" fieldPosition="0"/>
    </format>
    <format dxfId="850">
      <pivotArea outline="0" collapsedLevelsAreSubtotals="1" fieldPosition="0"/>
    </format>
    <format dxfId="849">
      <pivotArea field="11" type="button" dataOnly="0" labelOnly="1" outline="0" axis="axisRow" fieldPosition="0"/>
    </format>
    <format dxfId="848">
      <pivotArea dataOnly="0" labelOnly="1" fieldPosition="0">
        <references count="1">
          <reference field="11" count="0"/>
        </references>
      </pivotArea>
    </format>
    <format dxfId="847">
      <pivotArea dataOnly="0" labelOnly="1" grandRow="1" outline="0" fieldPosition="0"/>
    </format>
    <format dxfId="846">
      <pivotArea dataOnly="0" labelOnly="1" outline="0" axis="axisValues" fieldPosition="0"/>
    </format>
    <format dxfId="845">
      <pivotArea type="all" dataOnly="0" outline="0" fieldPosition="0"/>
    </format>
    <format dxfId="844">
      <pivotArea outline="0" collapsedLevelsAreSubtotals="1" fieldPosition="0"/>
    </format>
    <format dxfId="843">
      <pivotArea field="11" type="button" dataOnly="0" labelOnly="1" outline="0" axis="axisRow" fieldPosition="0"/>
    </format>
    <format dxfId="842">
      <pivotArea dataOnly="0" labelOnly="1" fieldPosition="0">
        <references count="1">
          <reference field="11" count="0"/>
        </references>
      </pivotArea>
    </format>
    <format dxfId="841">
      <pivotArea dataOnly="0" labelOnly="1" grandRow="1" outline="0" fieldPosition="0"/>
    </format>
    <format dxfId="8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BEEAD1-28B0-472A-B852-2AC0D44310D4}" name="Title sala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4:G10" firstHeaderRow="0" firstDataRow="1" firstDataCol="1"/>
  <pivotFields count="21">
    <pivotField showAll="0"/>
    <pivotField showAll="0"/>
    <pivotField showAll="0">
      <items count="3">
        <item x="0"/>
        <item x="1"/>
        <item t="default"/>
      </items>
    </pivotField>
    <pivotField showAll="0">
      <items count="38">
        <item x="6"/>
        <item x="25"/>
        <item x="10"/>
        <item x="16"/>
        <item x="0"/>
        <item x="1"/>
        <item x="5"/>
        <item x="9"/>
        <item x="11"/>
        <item x="19"/>
        <item x="2"/>
        <item x="17"/>
        <item x="18"/>
        <item x="20"/>
        <item x="3"/>
        <item x="24"/>
        <item x="8"/>
        <item x="22"/>
        <item x="14"/>
        <item x="21"/>
        <item x="12"/>
        <item x="23"/>
        <item x="4"/>
        <item x="15"/>
        <item x="7"/>
        <item x="26"/>
        <item x="13"/>
        <item f="1" x="33"/>
        <item f="1" x="31"/>
        <item f="1" x="29"/>
        <item f="1" x="27"/>
        <item f="1" x="36"/>
        <item f="1" x="34"/>
        <item f="1" x="32"/>
        <item f="1" x="30"/>
        <item f="1" x="28"/>
        <item f="1" x="35"/>
        <item t="default"/>
      </items>
    </pivotField>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formats count="6">
    <format dxfId="857">
      <pivotArea type="all" dataOnly="0" outline="0" fieldPosition="0"/>
    </format>
    <format dxfId="856">
      <pivotArea outline="0" collapsedLevelsAreSubtotals="1" fieldPosition="0"/>
    </format>
    <format dxfId="855">
      <pivotArea field="6" type="button" dataOnly="0" labelOnly="1" outline="0" axis="axisRow" fieldPosition="0"/>
    </format>
    <format dxfId="854">
      <pivotArea dataOnly="0" labelOnly="1" fieldPosition="0">
        <references count="1">
          <reference field="6" count="0"/>
        </references>
      </pivotArea>
    </format>
    <format dxfId="853">
      <pivotArea dataOnly="0" labelOnly="1" grandRow="1" outline="0" fieldPosition="0"/>
    </format>
    <format dxfId="8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349CF-DA9A-48EF-9809-C3673978D182}" name="Age range-gende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I4:L11" firstHeaderRow="1" firstDataRow="2" firstDataCol="1"/>
  <pivotFields count="21">
    <pivotField showAll="0"/>
    <pivotField dataField="1" showAll="0"/>
    <pivotField axis="axisCol" showAll="0">
      <items count="3">
        <item x="0"/>
        <item x="1"/>
        <item t="default"/>
      </items>
    </pivotField>
    <pivotField showAll="0">
      <items count="38">
        <item x="6"/>
        <item f="1" x="33"/>
        <item f="1" x="31"/>
        <item f="1" x="29"/>
        <item f="1" x="27"/>
        <item f="1" x="36"/>
        <item f="1" x="34"/>
        <item f="1" x="32"/>
        <item f="1" x="30"/>
        <item f="1" x="28"/>
        <item f="1" x="35"/>
        <item x="25"/>
        <item x="10"/>
        <item x="16"/>
        <item x="0"/>
        <item x="1"/>
        <item x="5"/>
        <item x="9"/>
        <item x="11"/>
        <item x="19"/>
        <item x="2"/>
        <item x="17"/>
        <item x="18"/>
        <item x="20"/>
        <item x="3"/>
        <item x="24"/>
        <item x="8"/>
        <item x="22"/>
        <item x="14"/>
        <item x="21"/>
        <item x="12"/>
        <item x="23"/>
        <item x="4"/>
        <item x="15"/>
        <item x="7"/>
        <item x="26"/>
        <item x="13"/>
        <item t="default"/>
      </items>
    </pivotField>
    <pivotField axis="axisRow" showAll="0">
      <items count="6">
        <item x="0"/>
        <item x="1"/>
        <item x="2"/>
        <item x="4"/>
        <item x="3"/>
        <item t="default"/>
      </items>
    </pivotField>
    <pivotField showAll="0"/>
    <pivotField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formats count="9">
    <format dxfId="866">
      <pivotArea type="all" dataOnly="0" outline="0" fieldPosition="0"/>
    </format>
    <format dxfId="865">
      <pivotArea outline="0" collapsedLevelsAreSubtotals="1" fieldPosition="0"/>
    </format>
    <format dxfId="864">
      <pivotArea type="origin" dataOnly="0" labelOnly="1" outline="0" fieldPosition="0"/>
    </format>
    <format dxfId="863">
      <pivotArea field="2" type="button" dataOnly="0" labelOnly="1" outline="0" axis="axisCol" fieldPosition="0"/>
    </format>
    <format dxfId="862">
      <pivotArea type="topRight" dataOnly="0" labelOnly="1" outline="0" fieldPosition="0"/>
    </format>
    <format dxfId="861">
      <pivotArea field="4" type="button" dataOnly="0" labelOnly="1" outline="0" axis="axisRow" fieldPosition="0"/>
    </format>
    <format dxfId="860">
      <pivotArea dataOnly="0" labelOnly="1" fieldPosition="0">
        <references count="1">
          <reference field="4" count="0"/>
        </references>
      </pivotArea>
    </format>
    <format dxfId="859">
      <pivotArea dataOnly="0" labelOnly="1" grandRow="1" outline="0" fieldPosition="0"/>
    </format>
    <format dxfId="858">
      <pivotArea dataOnly="0" labelOnly="1" grandCol="1" outline="0" fieldPosition="0"/>
    </format>
  </formats>
  <chartFormats count="5">
    <chartFormat chart="3" format="8" series="1">
      <pivotArea type="data" outline="0" fieldPosition="0">
        <references count="1">
          <reference field="2" count="1" selected="0">
            <x v="0"/>
          </reference>
        </references>
      </pivotArea>
    </chartFormat>
    <chartFormat chart="3" format="9" series="1">
      <pivotArea type="data" outline="0" fieldPosition="0">
        <references count="1">
          <reference field="2" count="1" selected="0">
            <x v="1"/>
          </reference>
        </references>
      </pivotArea>
    </chartFormat>
    <chartFormat chart="3" format="10" series="1">
      <pivotArea type="data" outline="0" fieldPosition="0">
        <references count="2">
          <reference field="4294967294" count="1" selected="0">
            <x v="0"/>
          </reference>
          <reference field="2" count="1" selected="0">
            <x v="1"/>
          </reference>
        </references>
      </pivotArea>
    </chartFormat>
    <chartFormat chart="3" format="11" series="1">
      <pivotArea type="data" outline="0" fieldPosition="0">
        <references count="2">
          <reference field="4294967294" count="1" selected="0">
            <x v="0"/>
          </reference>
          <reference field="2" count="1" selected="0">
            <x v="0"/>
          </reference>
        </references>
      </pivotArea>
    </chartFormat>
    <chartFormat chart="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393F93-381A-4FD6-AFEB-39F52D13B0AF}"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Y4:Z10" firstHeaderRow="1" firstDataRow="1" firstDataCol="1"/>
  <pivotFields count="21">
    <pivotField showAll="0"/>
    <pivotField showAll="0"/>
    <pivotField showAll="0">
      <items count="3">
        <item x="0"/>
        <item x="1"/>
        <item t="default"/>
      </items>
    </pivotField>
    <pivotField showAll="0">
      <items count="38">
        <item x="6"/>
        <item x="25"/>
        <item x="10"/>
        <item x="16"/>
        <item x="0"/>
        <item x="1"/>
        <item x="5"/>
        <item x="9"/>
        <item x="11"/>
        <item x="19"/>
        <item x="2"/>
        <item x="17"/>
        <item x="18"/>
        <item x="20"/>
        <item x="3"/>
        <item x="24"/>
        <item x="8"/>
        <item x="22"/>
        <item x="14"/>
        <item x="21"/>
        <item x="12"/>
        <item x="23"/>
        <item x="4"/>
        <item x="15"/>
        <item x="7"/>
        <item x="26"/>
        <item x="13"/>
        <item f="1" x="33"/>
        <item f="1" x="35"/>
        <item f="1" x="31"/>
        <item f="1" x="29"/>
        <item f="1" x="27"/>
        <item f="1" x="36"/>
        <item f="1" x="34"/>
        <item f="1" x="32"/>
        <item f="1" x="30"/>
        <item f="1" x="28"/>
        <item t="default"/>
      </items>
    </pivotField>
    <pivotField showAll="0"/>
    <pivotField showAll="0"/>
    <pivotField showAll="0"/>
    <pivotField axis="axisRow"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dataField="1" numFmtId="1" showAll="0">
      <items count="6">
        <item x="0"/>
        <item x="2"/>
        <item x="3"/>
        <item x="1"/>
        <item x="4"/>
        <item t="default"/>
      </items>
    </pivotField>
    <pivotField showAll="0"/>
    <pivotField showAll="0"/>
    <pivotField showAll="0"/>
  </pivotFields>
  <rowFields count="1">
    <field x="7"/>
  </rowFields>
  <rowItems count="6">
    <i>
      <x/>
    </i>
    <i>
      <x v="1"/>
    </i>
    <i>
      <x v="2"/>
    </i>
    <i>
      <x v="3"/>
    </i>
    <i>
      <x v="4"/>
    </i>
    <i t="grand">
      <x/>
    </i>
  </rowItems>
  <colItems count="1">
    <i/>
  </colItems>
  <dataFields count="1">
    <dataField name="Sum of Performance Rating" fld="17" baseField="0" baseItem="0"/>
  </dataFields>
  <formats count="6">
    <format dxfId="872">
      <pivotArea type="all" dataOnly="0" outline="0" fieldPosition="0"/>
    </format>
    <format dxfId="871">
      <pivotArea outline="0" collapsedLevelsAreSubtotals="1" fieldPosition="0"/>
    </format>
    <format dxfId="870">
      <pivotArea field="7" type="button" dataOnly="0" labelOnly="1" outline="0" axis="axisRow" fieldPosition="0"/>
    </format>
    <format dxfId="869">
      <pivotArea dataOnly="0" labelOnly="1" fieldPosition="0">
        <references count="1">
          <reference field="7" count="0"/>
        </references>
      </pivotArea>
    </format>
    <format dxfId="868">
      <pivotArea dataOnly="0" labelOnly="1" grandRow="1" outline="0" fieldPosition="0"/>
    </format>
    <format dxfId="86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081CDA-09D1-4D96-BE4E-395B498AAFB2}" name="Region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V4:W10" firstHeaderRow="1" firstDataRow="1" firstDataCol="1"/>
  <pivotFields count="21">
    <pivotField showAll="0"/>
    <pivotField dataField="1" showAll="0"/>
    <pivotField showAll="0">
      <items count="3">
        <item x="0"/>
        <item x="1"/>
        <item t="default"/>
      </items>
    </pivotField>
    <pivotField showAll="0">
      <items count="38">
        <item x="6"/>
        <item x="25"/>
        <item x="10"/>
        <item x="16"/>
        <item x="0"/>
        <item x="1"/>
        <item x="5"/>
        <item x="9"/>
        <item x="11"/>
        <item x="19"/>
        <item x="2"/>
        <item x="17"/>
        <item x="18"/>
        <item x="20"/>
        <item x="3"/>
        <item x="24"/>
        <item x="8"/>
        <item x="22"/>
        <item x="14"/>
        <item x="21"/>
        <item x="12"/>
        <item x="23"/>
        <item x="4"/>
        <item x="15"/>
        <item x="7"/>
        <item x="26"/>
        <item x="13"/>
        <item f="1" x="33"/>
        <item f="1" x="35"/>
        <item f="1" x="31"/>
        <item f="1" x="29"/>
        <item f="1" x="27"/>
        <item f="1" x="36"/>
        <item f="1" x="34"/>
        <item f="1" x="32"/>
        <item f="1" x="30"/>
        <item f="1" x="28"/>
        <item t="default"/>
      </items>
    </pivotField>
    <pivotField showAll="0"/>
    <pivotField axis="axisRow" showAll="0" sortType="ascending">
      <items count="6">
        <item x="1"/>
        <item x="0"/>
        <item x="4"/>
        <item x="3"/>
        <item x="2"/>
        <item t="default"/>
      </items>
      <autoSortScope>
        <pivotArea dataOnly="0" outline="0" fieldPosition="0">
          <references count="1">
            <reference field="4294967294" count="1" selected="0">
              <x v="0"/>
            </reference>
          </references>
        </pivotArea>
      </autoSortScope>
    </pivotField>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v="2"/>
    </i>
    <i>
      <x v="4"/>
    </i>
    <i>
      <x v="1"/>
    </i>
    <i>
      <x v="3"/>
    </i>
    <i>
      <x/>
    </i>
    <i t="grand">
      <x/>
    </i>
  </rowItems>
  <colItems count="1">
    <i/>
  </colItems>
  <dataFields count="1">
    <dataField name="Count of Full Name" fld="1" subtotal="count" baseField="0" baseItem="0"/>
  </dataFields>
  <formats count="6">
    <format dxfId="878">
      <pivotArea type="all" dataOnly="0" outline="0" fieldPosition="0"/>
    </format>
    <format dxfId="877">
      <pivotArea outline="0" collapsedLevelsAreSubtotals="1" fieldPosition="0"/>
    </format>
    <format dxfId="876">
      <pivotArea field="5" type="button" dataOnly="0" labelOnly="1" outline="0" axis="axisRow" fieldPosition="0"/>
    </format>
    <format dxfId="875">
      <pivotArea dataOnly="0" labelOnly="1" fieldPosition="0">
        <references count="1">
          <reference field="5" count="0"/>
        </references>
      </pivotArea>
    </format>
    <format dxfId="874">
      <pivotArea dataOnly="0" labelOnly="1" grandRow="1" outline="0" fieldPosition="0"/>
    </format>
    <format dxfId="873">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18AD91-2C9D-4755-B160-956CBE56ADE2}" name="Skil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S4:T10" firstHeaderRow="1" firstDataRow="1" firstDataCol="1"/>
  <pivotFields count="21">
    <pivotField showAll="0"/>
    <pivotField dataField="1" showAll="0"/>
    <pivotField showAll="0">
      <items count="3">
        <item x="0"/>
        <item x="1"/>
        <item t="default"/>
      </items>
    </pivotField>
    <pivotField showAll="0">
      <items count="38">
        <item x="6"/>
        <item x="25"/>
        <item x="10"/>
        <item x="16"/>
        <item x="0"/>
        <item x="1"/>
        <item x="5"/>
        <item x="9"/>
        <item x="11"/>
        <item x="19"/>
        <item x="2"/>
        <item x="17"/>
        <item x="18"/>
        <item x="20"/>
        <item x="3"/>
        <item x="24"/>
        <item x="8"/>
        <item x="22"/>
        <item x="14"/>
        <item x="21"/>
        <item x="12"/>
        <item x="23"/>
        <item x="4"/>
        <item x="15"/>
        <item x="7"/>
        <item x="26"/>
        <item x="13"/>
        <item f="1" x="33"/>
        <item f="1" x="35"/>
        <item f="1" x="31"/>
        <item f="1" x="29"/>
        <item f="1" x="27"/>
        <item f="1" x="36"/>
        <item f="1" x="34"/>
        <item f="1" x="32"/>
        <item f="1" x="30"/>
        <item f="1" x="28"/>
        <item t="default"/>
      </items>
    </pivotField>
    <pivotField showAll="0"/>
    <pivotField showAll="0"/>
    <pivotField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formats count="6">
    <format dxfId="884">
      <pivotArea type="all" dataOnly="0" outline="0" fieldPosition="0"/>
    </format>
    <format dxfId="883">
      <pivotArea outline="0" collapsedLevelsAreSubtotals="1" fieldPosition="0"/>
    </format>
    <format dxfId="882">
      <pivotArea field="19" type="button" dataOnly="0" labelOnly="1" outline="0" axis="axisRow" fieldPosition="0"/>
    </format>
    <format dxfId="881">
      <pivotArea dataOnly="0" labelOnly="1" fieldPosition="0">
        <references count="1">
          <reference field="19" count="0"/>
        </references>
      </pivotArea>
    </format>
    <format dxfId="880">
      <pivotArea dataOnly="0" labelOnly="1" grandRow="1" outline="0" fieldPosition="0"/>
    </format>
    <format dxfId="8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BDF361-998B-4262-8D24-76FC3DDEB870}" name="Employee Statu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4:C8" firstHeaderRow="1" firstDataRow="1" firstDataCol="1"/>
  <pivotFields count="21">
    <pivotField showAll="0"/>
    <pivotField dataField="1" showAll="0"/>
    <pivotField showAll="0">
      <items count="3">
        <item x="0"/>
        <item x="1"/>
        <item t="default"/>
      </items>
    </pivotField>
    <pivotField showAll="0">
      <items count="38">
        <item x="6"/>
        <item x="25"/>
        <item x="10"/>
        <item x="16"/>
        <item x="0"/>
        <item x="1"/>
        <item x="5"/>
        <item x="9"/>
        <item x="11"/>
        <item x="19"/>
        <item x="2"/>
        <item x="17"/>
        <item x="18"/>
        <item x="20"/>
        <item x="3"/>
        <item x="24"/>
        <item x="8"/>
        <item x="22"/>
        <item x="14"/>
        <item x="21"/>
        <item x="12"/>
        <item x="23"/>
        <item x="4"/>
        <item x="15"/>
        <item x="7"/>
        <item x="26"/>
        <item x="13"/>
        <item f="1" x="33"/>
        <item f="1" x="31"/>
        <item f="1" x="29"/>
        <item f="1" x="27"/>
        <item f="1" x="36"/>
        <item f="1" x="34"/>
        <item f="1" x="32"/>
        <item f="1" x="30"/>
        <item f="1" x="28"/>
        <item f="1" x="35"/>
        <item t="default"/>
      </items>
    </pivotField>
    <pivotField showAll="0"/>
    <pivotField showAll="0"/>
    <pivotField showAll="0">
      <items count="6">
        <item x="4"/>
        <item x="1"/>
        <item x="3"/>
        <item x="2"/>
        <item x="0"/>
        <item t="default"/>
      </items>
    </pivotField>
    <pivotField showAll="0">
      <items count="6">
        <item x="0"/>
        <item x="1"/>
        <item x="4"/>
        <item x="2"/>
        <item x="3"/>
        <item t="default"/>
      </items>
    </pivotField>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formats count="6">
    <format dxfId="890">
      <pivotArea type="all" dataOnly="0" outline="0" fieldPosition="0"/>
    </format>
    <format dxfId="889">
      <pivotArea outline="0" collapsedLevelsAreSubtotals="1" fieldPosition="0"/>
    </format>
    <format dxfId="888">
      <pivotArea field="10" type="button" dataOnly="0" labelOnly="1" outline="0" axis="axisRow" fieldPosition="0"/>
    </format>
    <format dxfId="887">
      <pivotArea dataOnly="0" labelOnly="1" fieldPosition="0">
        <references count="1">
          <reference field="10" count="0"/>
        </references>
      </pivotArea>
    </format>
    <format dxfId="886">
      <pivotArea dataOnly="0" labelOnly="1" grandRow="1" outline="0" fieldPosition="0"/>
    </format>
    <format dxfId="88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6C40156-E668-4D14-9BCA-FA84DFF93AFD}" sourceName="Gender">
  <pivotTables>
    <pivotTable tabId="5" name="Regions"/>
    <pivotTable tabId="5" name="Age range-gender"/>
    <pivotTable tabId="5" name="PivotTable4"/>
    <pivotTable tabId="5" name="Skils"/>
    <pivotTable tabId="5" name="Title salary"/>
    <pivotTable tabId="5" name="WorkPlace"/>
    <pivotTable tabId="5" name="Employee Status"/>
  </pivotTables>
  <data>
    <tabular pivotCacheId="166574933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C022E53-8EEE-45D4-A7F6-58F123DB0C96}" sourceName="Department">
  <pivotTables>
    <pivotTable tabId="5" name="Regions"/>
    <pivotTable tabId="5" name="Employee Status"/>
    <pivotTable tabId="5" name="PivotTable4"/>
    <pivotTable tabId="5" name="Skils"/>
    <pivotTable tabId="5" name="Title salary"/>
    <pivotTable tabId="5" name="WorkPlace"/>
    <pivotTable tabId="5" name="Age range-gender"/>
  </pivotTables>
  <data>
    <tabular pivotCacheId="1665749339">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7F1DE2B6-94A8-433A-B3D2-D3DD66D27D09}" cache="Slicer_Gender" caption="Gender" rowHeight="241300"/>
  <slicer name="Department 2" xr10:uid="{74E4E495-4934-49EA-9444-A59C85FACB07}" cache="Slicer_Department"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68F4484-A0EA-419D-8A30-FB0847738F28}" cache="Slicer_Gender" columnCount="2" style="Slicer Style 2" rowHeight="274320"/>
  <slicer name="Department 1" xr10:uid="{D80AFD4A-FFFF-4B2E-8E47-9CC21FEE62B7}" cache="Slicer_Department" columnCount="3"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E46410-9241-4F7F-9B73-6A4F7D83803F}" name="Table1" displayName="Table1" ref="A1:U51" totalsRowShown="0" headerRowDxfId="839" dataDxfId="838" tableBorderDxfId="837">
  <autoFilter ref="A1:U51" xr:uid="{11E46410-9241-4F7F-9B73-6A4F7D83803F}"/>
  <tableColumns count="21">
    <tableColumn id="1" xr3:uid="{253BAE9C-3C5F-4FF4-9171-56CC255A9846}" name="Employee ID" dataDxfId="836"/>
    <tableColumn id="2" xr3:uid="{A705E6EA-8FF2-4BDD-9C70-DB36579A9D60}" name="Full Name" dataDxfId="835"/>
    <tableColumn id="3" xr3:uid="{10544E60-F470-4B13-BDDA-07EEB8E81D76}" name="Gender" dataDxfId="834"/>
    <tableColumn id="4" xr3:uid="{688F2CDE-9DB4-40E8-9016-3BFF109CE4E6}" name="Age" dataDxfId="833"/>
    <tableColumn id="5" xr3:uid="{34E44797-3B95-41E8-B900-AB529735FE3A}" name="Age range" dataDxfId="832"/>
    <tableColumn id="6" xr3:uid="{2105C119-B931-461D-8A7F-2EF05B9A398D}" name="Region" dataDxfId="831"/>
    <tableColumn id="7" xr3:uid="{5BBF18C9-6340-406F-9905-625DD0D646CD}" name="Job Title" dataDxfId="830"/>
    <tableColumn id="8" xr3:uid="{45FB146F-BAA4-41DA-9E06-2E0784ADDFDA}" name="Department" dataDxfId="829"/>
    <tableColumn id="9" xr3:uid="{376626EF-77CB-47D1-AA50-D85961C273C4}" name="Manager/Supervisor" dataDxfId="828"/>
    <tableColumn id="10" xr3:uid="{61BB4FA1-BA4F-4061-AD32-D0637CE887C8}" name="Date of Hire" dataDxfId="827"/>
    <tableColumn id="11" xr3:uid="{03622066-BEE2-41DA-AE07-AC87875A5E30}" name="Employment Status" dataDxfId="826"/>
    <tableColumn id="12" xr3:uid="{5AA4FD60-C400-4475-8688-BD310C958330}" name="Work Location" dataDxfId="825"/>
    <tableColumn id="13" xr3:uid="{8CC3FFAC-9246-4BD6-9399-7C8665A43C4E}" name="Salary" dataDxfId="824"/>
    <tableColumn id="14" xr3:uid="{C3B41320-DF50-4C3F-BBBF-657E0C35B0A6}" name="Pay Grade" dataDxfId="823"/>
    <tableColumn id="15" xr3:uid="{AFAED062-0C0C-4FB7-9080-7B21C1832477}" name="Bonus/Allowances" dataDxfId="822"/>
    <tableColumn id="16" xr3:uid="{4A36F78F-EF15-45A8-9284-D3D7C9CE5606}" name="Insurance Details" dataDxfId="821"/>
    <tableColumn id="17" xr3:uid="{B297933E-8A51-4692-9D45-4DDD9B5B15AA}" name="Leave Taken" dataDxfId="820"/>
    <tableColumn id="18" xr3:uid="{A602D1D3-1027-40C3-90B8-A6A97CCFFCD4}" name="Performance Rating" dataDxfId="819"/>
    <tableColumn id="19" xr3:uid="{1015CA51-39F6-424D-B982-352E7007F7EC}" name="Training Programs Attended" dataDxfId="818"/>
    <tableColumn id="20" xr3:uid="{F7BF8AAD-FFC5-4A53-85AB-B400FCFEEC04}" name="Skills" dataDxfId="817"/>
    <tableColumn id="21" xr3:uid="{5D3FC746-41C7-4CA3-8881-A96DFB7BC7C6}" name="Certifications" dataDxfId="8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2A640-CAC2-40AE-A647-2FA416CAA205}">
  <dimension ref="B1:Z23"/>
  <sheetViews>
    <sheetView workbookViewId="0">
      <selection activeCell="J23" sqref="J23"/>
    </sheetView>
  </sheetViews>
  <sheetFormatPr defaultRowHeight="15"/>
  <cols>
    <col min="1" max="1" width="4.7109375" customWidth="1"/>
    <col min="2" max="2" width="15" style="10" bestFit="1" customWidth="1"/>
    <col min="3" max="3" width="20.5703125" style="10" bestFit="1" customWidth="1"/>
    <col min="4" max="4" width="4.85546875" customWidth="1"/>
    <col min="5" max="5" width="15" style="5" bestFit="1" customWidth="1"/>
    <col min="6" max="6" width="14.85546875" style="5" bestFit="1" customWidth="1"/>
    <col min="7" max="7" width="22.140625" style="5" bestFit="1" customWidth="1"/>
    <col min="8" max="8" width="12.5703125" customWidth="1"/>
    <col min="9" max="9" width="20.5703125" style="5" bestFit="1" customWidth="1"/>
    <col min="10" max="10" width="18.42578125" style="5" bestFit="1" customWidth="1"/>
    <col min="11" max="11" width="5.85546875" style="5" bestFit="1" customWidth="1"/>
    <col min="12" max="12" width="13.140625" style="5" bestFit="1" customWidth="1"/>
    <col min="13" max="13" width="4" customWidth="1"/>
    <col min="14" max="14" width="15" style="5" bestFit="1" customWidth="1"/>
    <col min="15" max="15" width="20.5703125" style="5" bestFit="1" customWidth="1"/>
    <col min="19" max="19" width="15.85546875" style="5" bestFit="1" customWidth="1"/>
    <col min="20" max="20" width="20.5703125" style="5" bestFit="1" customWidth="1"/>
    <col min="22" max="22" width="15" bestFit="1" customWidth="1"/>
    <col min="23" max="23" width="20.5703125" bestFit="1" customWidth="1"/>
    <col min="25" max="25" width="15" bestFit="1" customWidth="1"/>
    <col min="26" max="26" width="29.28515625" bestFit="1" customWidth="1"/>
    <col min="27" max="27" width="8.85546875" customWidth="1"/>
    <col min="28" max="30" width="2" bestFit="1" customWidth="1"/>
    <col min="31" max="31" width="11.28515625" bestFit="1" customWidth="1"/>
  </cols>
  <sheetData>
    <row r="1" spans="2:26">
      <c r="N1" s="14"/>
      <c r="O1" s="15"/>
      <c r="P1" s="16"/>
      <c r="Q1" s="17"/>
      <c r="V1" s="43"/>
      <c r="W1" s="43"/>
      <c r="Y1" s="43"/>
      <c r="Z1" s="43"/>
    </row>
    <row r="2" spans="2:26">
      <c r="B2" s="53" t="s">
        <v>217</v>
      </c>
      <c r="C2" s="53"/>
      <c r="E2" s="42" t="s">
        <v>220</v>
      </c>
      <c r="F2" s="42"/>
      <c r="G2" s="4"/>
      <c r="I2" s="54" t="s">
        <v>222</v>
      </c>
      <c r="J2" s="54"/>
      <c r="N2" s="29" t="s">
        <v>223</v>
      </c>
      <c r="O2" s="30"/>
      <c r="P2" s="30"/>
      <c r="Q2" s="31"/>
      <c r="S2" s="55" t="s">
        <v>224</v>
      </c>
      <c r="T2" s="56"/>
      <c r="V2" s="55" t="s">
        <v>226</v>
      </c>
      <c r="W2" s="56"/>
      <c r="Y2" s="57" t="s">
        <v>7</v>
      </c>
      <c r="Z2" s="58"/>
    </row>
    <row r="3" spans="2:26" ht="15.75" thickBot="1">
      <c r="N3" s="20"/>
      <c r="O3" s="21"/>
      <c r="P3" s="18"/>
      <c r="Q3" s="19"/>
      <c r="V3" s="43"/>
      <c r="W3" s="43"/>
      <c r="Y3" s="43"/>
      <c r="Z3" s="43"/>
    </row>
    <row r="4" spans="2:26" ht="15.75" thickBot="1">
      <c r="B4" s="11" t="s">
        <v>214</v>
      </c>
      <c r="C4" s="10" t="s">
        <v>216</v>
      </c>
      <c r="E4" s="6" t="s">
        <v>214</v>
      </c>
      <c r="F4" s="5" t="s">
        <v>219</v>
      </c>
      <c r="G4" s="5" t="s">
        <v>225</v>
      </c>
      <c r="I4" s="6" t="s">
        <v>216</v>
      </c>
      <c r="J4" s="6" t="s">
        <v>221</v>
      </c>
      <c r="N4" s="36" t="s">
        <v>214</v>
      </c>
      <c r="O4" s="41" t="s">
        <v>216</v>
      </c>
      <c r="P4" s="18"/>
      <c r="Q4" s="19"/>
      <c r="S4" s="6" t="s">
        <v>214</v>
      </c>
      <c r="T4" s="5" t="s">
        <v>216</v>
      </c>
      <c r="V4" s="44" t="s">
        <v>214</v>
      </c>
      <c r="W4" s="43" t="s">
        <v>216</v>
      </c>
      <c r="Y4" s="44" t="s">
        <v>214</v>
      </c>
      <c r="Z4" s="43" t="s">
        <v>227</v>
      </c>
    </row>
    <row r="5" spans="2:26">
      <c r="B5" s="12" t="s">
        <v>29</v>
      </c>
      <c r="C5" s="13">
        <v>20</v>
      </c>
      <c r="E5" s="7" t="s">
        <v>121</v>
      </c>
      <c r="F5" s="8">
        <v>167041</v>
      </c>
      <c r="G5" s="8">
        <v>28</v>
      </c>
      <c r="I5" s="6" t="s">
        <v>214</v>
      </c>
      <c r="J5" s="5" t="s">
        <v>22</v>
      </c>
      <c r="K5" s="5" t="s">
        <v>37</v>
      </c>
      <c r="L5" s="5" t="s">
        <v>215</v>
      </c>
      <c r="N5" s="37" t="s">
        <v>44</v>
      </c>
      <c r="O5" s="33">
        <v>23</v>
      </c>
      <c r="P5" s="18"/>
      <c r="Q5" s="19"/>
      <c r="S5" s="7" t="s">
        <v>75</v>
      </c>
      <c r="T5" s="8">
        <v>12</v>
      </c>
      <c r="V5" s="45" t="s">
        <v>102</v>
      </c>
      <c r="W5" s="46">
        <v>7</v>
      </c>
      <c r="Y5" s="45" t="s">
        <v>26</v>
      </c>
      <c r="Z5" s="46">
        <v>31</v>
      </c>
    </row>
    <row r="6" spans="2:26">
      <c r="B6" s="12" t="s">
        <v>111</v>
      </c>
      <c r="C6" s="13">
        <v>13</v>
      </c>
      <c r="E6" s="7" t="s">
        <v>40</v>
      </c>
      <c r="F6" s="8">
        <v>613842</v>
      </c>
      <c r="G6" s="8">
        <v>110</v>
      </c>
      <c r="I6" s="7" t="s">
        <v>23</v>
      </c>
      <c r="J6" s="8">
        <v>6</v>
      </c>
      <c r="K6" s="8">
        <v>3</v>
      </c>
      <c r="L6" s="8">
        <v>9</v>
      </c>
      <c r="N6" s="38" t="s">
        <v>30</v>
      </c>
      <c r="O6" s="34">
        <v>8</v>
      </c>
      <c r="P6" s="18"/>
      <c r="Q6" s="19"/>
      <c r="S6" s="7" t="s">
        <v>34</v>
      </c>
      <c r="T6" s="8">
        <v>11</v>
      </c>
      <c r="V6" s="45" t="s">
        <v>49</v>
      </c>
      <c r="W6" s="46">
        <v>9</v>
      </c>
      <c r="Y6" s="45" t="s">
        <v>41</v>
      </c>
      <c r="Z6" s="46">
        <v>33</v>
      </c>
    </row>
    <row r="7" spans="2:26" ht="15.75" thickBot="1">
      <c r="B7" s="12" t="s">
        <v>63</v>
      </c>
      <c r="C7" s="13">
        <v>17</v>
      </c>
      <c r="E7" s="7" t="s">
        <v>72</v>
      </c>
      <c r="F7" s="8">
        <v>633594</v>
      </c>
      <c r="G7" s="8">
        <v>104</v>
      </c>
      <c r="I7" s="7" t="s">
        <v>38</v>
      </c>
      <c r="J7" s="8">
        <v>7</v>
      </c>
      <c r="K7" s="8">
        <v>6</v>
      </c>
      <c r="L7" s="8">
        <v>13</v>
      </c>
      <c r="N7" s="39" t="s">
        <v>54</v>
      </c>
      <c r="O7" s="34">
        <v>19</v>
      </c>
      <c r="P7" s="18"/>
      <c r="Q7" s="19"/>
      <c r="S7" s="7" t="s">
        <v>96</v>
      </c>
      <c r="T7" s="8">
        <v>7</v>
      </c>
      <c r="V7" s="45" t="s">
        <v>24</v>
      </c>
      <c r="W7" s="46">
        <v>10</v>
      </c>
      <c r="Y7" s="45" t="s">
        <v>81</v>
      </c>
      <c r="Z7" s="46">
        <v>18</v>
      </c>
    </row>
    <row r="8" spans="2:26" ht="15.75" thickBot="1">
      <c r="B8" s="12" t="s">
        <v>215</v>
      </c>
      <c r="C8" s="13">
        <v>50</v>
      </c>
      <c r="E8" s="7" t="s">
        <v>50</v>
      </c>
      <c r="F8" s="8">
        <v>959266</v>
      </c>
      <c r="G8" s="8">
        <v>123</v>
      </c>
      <c r="I8" s="7" t="s">
        <v>59</v>
      </c>
      <c r="J8" s="8">
        <v>5</v>
      </c>
      <c r="K8" s="8">
        <v>7</v>
      </c>
      <c r="L8" s="8">
        <v>12</v>
      </c>
      <c r="N8" s="40" t="s">
        <v>215</v>
      </c>
      <c r="O8" s="35">
        <v>50</v>
      </c>
      <c r="P8" s="18"/>
      <c r="Q8" s="19"/>
      <c r="S8" s="7" t="s">
        <v>56</v>
      </c>
      <c r="T8" s="8">
        <v>11</v>
      </c>
      <c r="V8" s="45" t="s">
        <v>80</v>
      </c>
      <c r="W8" s="46">
        <v>10</v>
      </c>
      <c r="Y8" s="45" t="s">
        <v>51</v>
      </c>
      <c r="Z8" s="46">
        <v>26</v>
      </c>
    </row>
    <row r="9" spans="2:26">
      <c r="E9" s="7" t="s">
        <v>25</v>
      </c>
      <c r="F9" s="8">
        <v>731170</v>
      </c>
      <c r="G9" s="8">
        <v>122</v>
      </c>
      <c r="I9" s="7" t="s">
        <v>98</v>
      </c>
      <c r="J9" s="8">
        <v>4</v>
      </c>
      <c r="K9" s="8">
        <v>3</v>
      </c>
      <c r="L9" s="8">
        <v>7</v>
      </c>
      <c r="N9" s="20"/>
      <c r="O9" s="21"/>
      <c r="P9" s="18"/>
      <c r="Q9" s="19"/>
      <c r="S9" s="7" t="s">
        <v>66</v>
      </c>
      <c r="T9" s="8">
        <v>9</v>
      </c>
      <c r="V9" s="45" t="s">
        <v>39</v>
      </c>
      <c r="W9" s="46">
        <v>14</v>
      </c>
      <c r="Y9" s="45" t="s">
        <v>60</v>
      </c>
      <c r="Z9" s="46">
        <v>23</v>
      </c>
    </row>
    <row r="10" spans="2:26">
      <c r="E10" s="7" t="s">
        <v>215</v>
      </c>
      <c r="F10" s="8">
        <v>3104913</v>
      </c>
      <c r="G10" s="8">
        <v>487</v>
      </c>
      <c r="I10" s="7" t="s">
        <v>68</v>
      </c>
      <c r="J10" s="8">
        <v>4</v>
      </c>
      <c r="K10" s="8">
        <v>5</v>
      </c>
      <c r="L10" s="8">
        <v>9</v>
      </c>
      <c r="N10" s="20"/>
      <c r="O10" s="21"/>
      <c r="P10" s="18"/>
      <c r="Q10" s="19"/>
      <c r="S10" s="7" t="s">
        <v>215</v>
      </c>
      <c r="T10" s="8">
        <v>50</v>
      </c>
      <c r="V10" s="45" t="s">
        <v>215</v>
      </c>
      <c r="W10" s="46">
        <v>50</v>
      </c>
      <c r="Y10" s="45" t="s">
        <v>215</v>
      </c>
      <c r="Z10" s="46">
        <v>131</v>
      </c>
    </row>
    <row r="11" spans="2:26">
      <c r="B11" s="12" t="s">
        <v>29</v>
      </c>
      <c r="C11" s="10">
        <f>IFERROR(C5,0)</f>
        <v>20</v>
      </c>
      <c r="E11" s="7"/>
      <c r="I11" s="7" t="s">
        <v>215</v>
      </c>
      <c r="J11" s="8">
        <v>26</v>
      </c>
      <c r="K11" s="8">
        <v>24</v>
      </c>
      <c r="L11" s="8">
        <v>50</v>
      </c>
      <c r="N11" s="20"/>
      <c r="O11" s="21"/>
      <c r="P11" s="18"/>
      <c r="Q11" s="19"/>
      <c r="V11" s="43"/>
      <c r="W11" s="43"/>
      <c r="Y11" s="43"/>
      <c r="Z11" s="43"/>
    </row>
    <row r="12" spans="2:26">
      <c r="B12" s="12" t="s">
        <v>111</v>
      </c>
      <c r="C12" s="10">
        <f>IFERROR(C6,0)</f>
        <v>13</v>
      </c>
      <c r="E12" s="7" t="s">
        <v>121</v>
      </c>
      <c r="F12" s="8">
        <f>IFERROR(F5,0)</f>
        <v>167041</v>
      </c>
      <c r="G12" s="8">
        <f>IFERROR(G5,0)</f>
        <v>28</v>
      </c>
      <c r="N12" s="20"/>
      <c r="O12" s="21"/>
      <c r="P12" s="18"/>
      <c r="Q12" s="19"/>
      <c r="V12" s="43"/>
      <c r="W12" s="43"/>
      <c r="Y12" s="43"/>
      <c r="Z12" s="43"/>
    </row>
    <row r="13" spans="2:26">
      <c r="B13" s="12" t="s">
        <v>63</v>
      </c>
      <c r="C13" s="10">
        <f>IFERROR(C7,0)</f>
        <v>17</v>
      </c>
      <c r="E13" s="7" t="s">
        <v>40</v>
      </c>
      <c r="F13" s="8">
        <f t="shared" ref="F13:G16" si="0">IFERROR(F6,0)</f>
        <v>613842</v>
      </c>
      <c r="G13" s="8">
        <f t="shared" si="0"/>
        <v>110</v>
      </c>
      <c r="I13" s="7"/>
      <c r="N13" s="22" t="s">
        <v>44</v>
      </c>
      <c r="O13" s="21">
        <f>IFERROR(O5,0)</f>
        <v>23</v>
      </c>
      <c r="P13" s="23">
        <f>SUM(O13)/SUM($O$13:$O$15)</f>
        <v>0.46</v>
      </c>
      <c r="Q13" s="24">
        <f>1-P13</f>
        <v>0.54</v>
      </c>
      <c r="S13" s="7" t="s">
        <v>75</v>
      </c>
      <c r="T13" s="5">
        <f>IFERROR(T5,0)</f>
        <v>12</v>
      </c>
      <c r="V13" s="45" t="s">
        <v>39</v>
      </c>
      <c r="W13" s="43">
        <f>IFERROR(W5,0)</f>
        <v>7</v>
      </c>
      <c r="Y13" s="45" t="s">
        <v>26</v>
      </c>
      <c r="Z13" s="43">
        <f>IFERROR(Z5,0)</f>
        <v>31</v>
      </c>
    </row>
    <row r="14" spans="2:26">
      <c r="B14" s="12" t="s">
        <v>218</v>
      </c>
      <c r="C14" s="10">
        <f>SUM(C11:C13)</f>
        <v>50</v>
      </c>
      <c r="E14" s="7" t="s">
        <v>72</v>
      </c>
      <c r="F14" s="8">
        <f t="shared" si="0"/>
        <v>633594</v>
      </c>
      <c r="G14" s="8">
        <f t="shared" si="0"/>
        <v>104</v>
      </c>
      <c r="I14" s="7" t="s">
        <v>23</v>
      </c>
      <c r="J14" s="5">
        <f>IFERROR(L6,"0")</f>
        <v>9</v>
      </c>
      <c r="N14" s="22" t="s">
        <v>30</v>
      </c>
      <c r="O14" s="21">
        <f>IFERROR(O6,0)</f>
        <v>8</v>
      </c>
      <c r="P14" s="23">
        <f>SUM(O14)/SUM($O$13:$O$15)</f>
        <v>0.16</v>
      </c>
      <c r="Q14" s="24">
        <f>1-P14</f>
        <v>0.84</v>
      </c>
      <c r="S14" s="7" t="s">
        <v>34</v>
      </c>
      <c r="T14" s="5">
        <f>IFERROR(T6,0)</f>
        <v>11</v>
      </c>
      <c r="V14" s="45" t="s">
        <v>24</v>
      </c>
      <c r="W14" s="43">
        <f t="shared" ref="W14:W17" si="1">IFERROR(W6,0)</f>
        <v>9</v>
      </c>
      <c r="Y14" s="45" t="s">
        <v>41</v>
      </c>
      <c r="Z14" s="43">
        <f t="shared" ref="Z14:Z17" si="2">IFERROR(Z6,0)</f>
        <v>33</v>
      </c>
    </row>
    <row r="15" spans="2:26">
      <c r="E15" s="7" t="s">
        <v>50</v>
      </c>
      <c r="F15" s="8">
        <f t="shared" si="0"/>
        <v>959266</v>
      </c>
      <c r="G15" s="8">
        <f t="shared" si="0"/>
        <v>123</v>
      </c>
      <c r="I15" s="7" t="s">
        <v>38</v>
      </c>
      <c r="J15" s="5">
        <f>IFERROR(L7,"0")</f>
        <v>13</v>
      </c>
      <c r="N15" s="22" t="s">
        <v>54</v>
      </c>
      <c r="O15" s="21">
        <f>IFERROR(O7,0)</f>
        <v>19</v>
      </c>
      <c r="P15" s="23">
        <f>SUM(O15)/SUM($O$13:$O$15)</f>
        <v>0.38</v>
      </c>
      <c r="Q15" s="24">
        <f>1-P15</f>
        <v>0.62</v>
      </c>
      <c r="S15" s="7" t="s">
        <v>96</v>
      </c>
      <c r="T15" s="5">
        <f>IFERROR(T7,0)</f>
        <v>7</v>
      </c>
      <c r="V15" s="45" t="s">
        <v>102</v>
      </c>
      <c r="W15" s="43">
        <f t="shared" si="1"/>
        <v>10</v>
      </c>
      <c r="Y15" s="45" t="s">
        <v>81</v>
      </c>
      <c r="Z15" s="43">
        <f t="shared" si="2"/>
        <v>18</v>
      </c>
    </row>
    <row r="16" spans="2:26">
      <c r="E16" s="7" t="s">
        <v>25</v>
      </c>
      <c r="F16" s="8">
        <f t="shared" si="0"/>
        <v>731170</v>
      </c>
      <c r="G16" s="8">
        <f t="shared" si="0"/>
        <v>122</v>
      </c>
      <c r="I16" s="7" t="s">
        <v>59</v>
      </c>
      <c r="J16" s="5">
        <f>IFERROR(L8,"0")</f>
        <v>12</v>
      </c>
      <c r="N16" s="22" t="s">
        <v>218</v>
      </c>
      <c r="O16" s="21">
        <f>SUM(O13:O15)</f>
        <v>50</v>
      </c>
      <c r="P16" s="18"/>
      <c r="Q16" s="19"/>
      <c r="S16" s="7" t="s">
        <v>56</v>
      </c>
      <c r="T16" s="5">
        <f>IFERROR(T8,0)</f>
        <v>11</v>
      </c>
      <c r="V16" s="45" t="s">
        <v>80</v>
      </c>
      <c r="W16" s="43">
        <f t="shared" si="1"/>
        <v>10</v>
      </c>
      <c r="Y16" s="45" t="s">
        <v>51</v>
      </c>
      <c r="Z16" s="43">
        <f t="shared" si="2"/>
        <v>26</v>
      </c>
    </row>
    <row r="17" spans="5:26" ht="15.75" thickBot="1">
      <c r="E17" s="7" t="s">
        <v>218</v>
      </c>
      <c r="F17" s="8">
        <f>SUM(F12:F16)</f>
        <v>3104913</v>
      </c>
      <c r="G17" s="8">
        <f>IFERROR(G10,0)</f>
        <v>487</v>
      </c>
      <c r="I17" s="7" t="s">
        <v>98</v>
      </c>
      <c r="J17" s="5">
        <f>IFERROR(L9,"0")</f>
        <v>7</v>
      </c>
      <c r="N17" s="25"/>
      <c r="O17" s="26"/>
      <c r="P17" s="27"/>
      <c r="Q17" s="28"/>
      <c r="S17" s="7" t="s">
        <v>66</v>
      </c>
      <c r="T17" s="5">
        <f>IFERROR(T9,0)</f>
        <v>9</v>
      </c>
      <c r="V17" s="45" t="s">
        <v>49</v>
      </c>
      <c r="W17" s="43">
        <f t="shared" si="1"/>
        <v>14</v>
      </c>
      <c r="Y17" s="45" t="s">
        <v>60</v>
      </c>
      <c r="Z17" s="43">
        <f t="shared" si="2"/>
        <v>23</v>
      </c>
    </row>
    <row r="18" spans="5:26">
      <c r="I18" s="7" t="s">
        <v>68</v>
      </c>
      <c r="J18" s="5">
        <f>IFERROR(L10,"0")</f>
        <v>9</v>
      </c>
      <c r="S18" s="7" t="s">
        <v>218</v>
      </c>
      <c r="T18" s="5">
        <f>SUM(T13:T17)</f>
        <v>50</v>
      </c>
      <c r="V18" s="45" t="s">
        <v>218</v>
      </c>
      <c r="W18" s="43">
        <f>SUM(W13:W17)</f>
        <v>50</v>
      </c>
      <c r="Y18" s="45" t="s">
        <v>218</v>
      </c>
      <c r="Z18" s="50">
        <f>SUM(Z13:Z17)</f>
        <v>131</v>
      </c>
    </row>
    <row r="19" spans="5:26">
      <c r="I19" s="5" t="s">
        <v>218</v>
      </c>
      <c r="J19" s="5">
        <f>SUM(J14:J18)</f>
        <v>50</v>
      </c>
    </row>
    <row r="21" spans="5:26">
      <c r="I21" s="7" t="s">
        <v>37</v>
      </c>
      <c r="J21" s="5">
        <f>IFERROR(SUM(J6:J10),0)</f>
        <v>26</v>
      </c>
      <c r="K21" s="9">
        <f>SUM(J21)/SUM($J$21:$J$22)</f>
        <v>0.52</v>
      </c>
      <c r="L21" s="32">
        <f>1-K21</f>
        <v>0.48</v>
      </c>
    </row>
    <row r="22" spans="5:26">
      <c r="I22" s="5" t="s">
        <v>22</v>
      </c>
      <c r="J22" s="5">
        <f>IFERROR(SUM(K6:K10),0)</f>
        <v>24</v>
      </c>
      <c r="K22" s="9">
        <f>SUM(J22)/SUM($J$21:$J$22)</f>
        <v>0.48</v>
      </c>
      <c r="L22" s="32">
        <f>1-K22</f>
        <v>0.52</v>
      </c>
    </row>
    <row r="23" spans="5:26">
      <c r="I23" s="5" t="s">
        <v>228</v>
      </c>
      <c r="J23" s="5">
        <f>SUM(J21:J22)</f>
        <v>50</v>
      </c>
    </row>
  </sheetData>
  <mergeCells count="5">
    <mergeCell ref="B2:C2"/>
    <mergeCell ref="I2:J2"/>
    <mergeCell ref="S2:T2"/>
    <mergeCell ref="V2:W2"/>
    <mergeCell ref="Y2:Z2"/>
  </mergeCells>
  <pageMargins left="0.7" right="0.7" top="0.75" bottom="0.75" header="0.3" footer="0.3"/>
  <pageSetup orientation="portrait" horizontalDpi="1200" verticalDpi="1200" r:id="rId8"/>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30A15-D34B-40F5-901F-50D39B68D1FD}">
  <dimension ref="A1:U51"/>
  <sheetViews>
    <sheetView topLeftCell="L20" workbookViewId="0">
      <selection sqref="A1:U51"/>
    </sheetView>
  </sheetViews>
  <sheetFormatPr defaultRowHeight="15"/>
  <cols>
    <col min="1" max="1" width="18.28515625" bestFit="1" customWidth="1"/>
    <col min="2" max="2" width="17.85546875" bestFit="1" customWidth="1"/>
    <col min="3" max="3" width="13.28515625" bestFit="1" customWidth="1"/>
    <col min="4" max="4" width="9.42578125" bestFit="1" customWidth="1"/>
    <col min="5" max="5" width="15.85546875" bestFit="1" customWidth="1"/>
    <col min="6" max="6" width="12.85546875" bestFit="1" customWidth="1"/>
    <col min="7" max="7" width="14.42578125" bestFit="1" customWidth="1"/>
    <col min="8" max="8" width="17.42578125" bestFit="1" customWidth="1"/>
    <col min="9" max="9" width="26.7109375" bestFit="1" customWidth="1"/>
    <col min="10" max="10" width="17.85546875" bestFit="1" customWidth="1"/>
    <col min="11" max="11" width="25.140625" bestFit="1" customWidth="1"/>
    <col min="12" max="12" width="20.140625" bestFit="1" customWidth="1"/>
    <col min="13" max="13" width="11.7109375" bestFit="1" customWidth="1"/>
    <col min="14" max="14" width="16" bestFit="1" customWidth="1"/>
    <col min="15" max="15" width="24.28515625" bestFit="1" customWidth="1"/>
    <col min="16" max="16" width="23.42578125" bestFit="1" customWidth="1"/>
    <col min="17" max="17" width="18.85546875" bestFit="1" customWidth="1"/>
    <col min="18" max="18" width="26.140625" style="49" bestFit="1" customWidth="1"/>
    <col min="19" max="19" width="34.7109375" bestFit="1" customWidth="1"/>
    <col min="20" max="20" width="15.85546875" bestFit="1" customWidth="1"/>
    <col min="21" max="21" width="21.140625" bestFit="1"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47" t="s">
        <v>17</v>
      </c>
      <c r="S1" s="1" t="s">
        <v>18</v>
      </c>
      <c r="T1" s="1" t="s">
        <v>19</v>
      </c>
      <c r="U1" s="1" t="s">
        <v>20</v>
      </c>
    </row>
    <row r="2" spans="1:21">
      <c r="A2" s="2">
        <v>4294</v>
      </c>
      <c r="B2" s="2" t="s">
        <v>21</v>
      </c>
      <c r="C2" s="2" t="s">
        <v>22</v>
      </c>
      <c r="D2" s="2">
        <v>25</v>
      </c>
      <c r="E2" s="2" t="s">
        <v>23</v>
      </c>
      <c r="F2" s="2" t="s">
        <v>24</v>
      </c>
      <c r="G2" s="2" t="s">
        <v>25</v>
      </c>
      <c r="H2" s="2" t="s">
        <v>26</v>
      </c>
      <c r="I2" s="2" t="s">
        <v>27</v>
      </c>
      <c r="J2" s="2" t="s">
        <v>28</v>
      </c>
      <c r="K2" s="2" t="s">
        <v>29</v>
      </c>
      <c r="L2" s="2" t="s">
        <v>30</v>
      </c>
      <c r="M2" s="2">
        <v>53700</v>
      </c>
      <c r="N2" s="2" t="s">
        <v>31</v>
      </c>
      <c r="O2" s="2">
        <v>1463</v>
      </c>
      <c r="P2" s="2" t="s">
        <v>32</v>
      </c>
      <c r="Q2" s="2">
        <v>1</v>
      </c>
      <c r="R2" s="48">
        <v>1</v>
      </c>
      <c r="S2" s="2" t="s">
        <v>33</v>
      </c>
      <c r="T2" s="2" t="s">
        <v>34</v>
      </c>
      <c r="U2" s="2" t="s">
        <v>35</v>
      </c>
    </row>
    <row r="3" spans="1:21">
      <c r="A3" s="2">
        <v>9116</v>
      </c>
      <c r="B3" s="2" t="s">
        <v>36</v>
      </c>
      <c r="C3" s="2" t="s">
        <v>37</v>
      </c>
      <c r="D3" s="2">
        <v>27</v>
      </c>
      <c r="E3" s="2" t="s">
        <v>38</v>
      </c>
      <c r="F3" s="2" t="s">
        <v>39</v>
      </c>
      <c r="G3" s="2" t="s">
        <v>40</v>
      </c>
      <c r="H3" s="2" t="s">
        <v>41</v>
      </c>
      <c r="I3" s="2" t="s">
        <v>42</v>
      </c>
      <c r="J3" s="2" t="s">
        <v>43</v>
      </c>
      <c r="K3" s="2" t="s">
        <v>29</v>
      </c>
      <c r="L3" s="2" t="s">
        <v>44</v>
      </c>
      <c r="M3" s="2">
        <v>91091</v>
      </c>
      <c r="N3" s="2" t="s">
        <v>45</v>
      </c>
      <c r="O3" s="2">
        <v>1024</v>
      </c>
      <c r="P3" s="2" t="s">
        <v>46</v>
      </c>
      <c r="Q3" s="2">
        <v>19</v>
      </c>
      <c r="R3" s="48">
        <v>4</v>
      </c>
      <c r="S3" s="2" t="s">
        <v>47</v>
      </c>
      <c r="T3" s="2" t="s">
        <v>34</v>
      </c>
      <c r="U3" s="2" t="s">
        <v>35</v>
      </c>
    </row>
    <row r="4" spans="1:21">
      <c r="A4" s="2">
        <v>5120</v>
      </c>
      <c r="B4" s="2" t="s">
        <v>48</v>
      </c>
      <c r="C4" s="2" t="s">
        <v>37</v>
      </c>
      <c r="D4" s="2">
        <v>34</v>
      </c>
      <c r="E4" s="2" t="s">
        <v>38</v>
      </c>
      <c r="F4" s="2" t="s">
        <v>49</v>
      </c>
      <c r="G4" s="2" t="s">
        <v>50</v>
      </c>
      <c r="H4" s="2" t="s">
        <v>51</v>
      </c>
      <c r="I4" s="2" t="s">
        <v>52</v>
      </c>
      <c r="J4" s="2" t="s">
        <v>53</v>
      </c>
      <c r="K4" s="2" t="s">
        <v>29</v>
      </c>
      <c r="L4" s="2" t="s">
        <v>54</v>
      </c>
      <c r="M4" s="2">
        <v>57538</v>
      </c>
      <c r="N4" s="2" t="s">
        <v>55</v>
      </c>
      <c r="O4" s="2">
        <v>1674</v>
      </c>
      <c r="P4" s="2" t="s">
        <v>46</v>
      </c>
      <c r="Q4" s="2">
        <v>8</v>
      </c>
      <c r="R4" s="48">
        <v>1</v>
      </c>
      <c r="S4" s="2" t="s">
        <v>46</v>
      </c>
      <c r="T4" s="2" t="s">
        <v>56</v>
      </c>
      <c r="U4" s="2" t="s">
        <v>57</v>
      </c>
    </row>
    <row r="5" spans="1:21">
      <c r="A5" s="2">
        <v>8071</v>
      </c>
      <c r="B5" s="2" t="s">
        <v>58</v>
      </c>
      <c r="C5" s="2" t="s">
        <v>22</v>
      </c>
      <c r="D5" s="2">
        <v>41</v>
      </c>
      <c r="E5" s="2" t="s">
        <v>59</v>
      </c>
      <c r="F5" s="2" t="s">
        <v>49</v>
      </c>
      <c r="G5" s="2" t="s">
        <v>25</v>
      </c>
      <c r="H5" s="2" t="s">
        <v>60</v>
      </c>
      <c r="I5" s="2" t="s">
        <v>61</v>
      </c>
      <c r="J5" s="2" t="s">
        <v>62</v>
      </c>
      <c r="K5" s="2" t="s">
        <v>63</v>
      </c>
      <c r="L5" s="2" t="s">
        <v>30</v>
      </c>
      <c r="M5" s="2">
        <v>62993</v>
      </c>
      <c r="N5" s="2" t="s">
        <v>64</v>
      </c>
      <c r="O5" s="2">
        <v>2695</v>
      </c>
      <c r="P5" s="2" t="s">
        <v>65</v>
      </c>
      <c r="Q5" s="2">
        <v>0</v>
      </c>
      <c r="R5" s="48">
        <v>2</v>
      </c>
      <c r="S5" s="2" t="s">
        <v>46</v>
      </c>
      <c r="T5" s="2" t="s">
        <v>66</v>
      </c>
      <c r="U5" s="2" t="s">
        <v>46</v>
      </c>
    </row>
    <row r="6" spans="1:21">
      <c r="A6" s="2">
        <v>9351</v>
      </c>
      <c r="B6" s="2" t="s">
        <v>67</v>
      </c>
      <c r="C6" s="2" t="s">
        <v>37</v>
      </c>
      <c r="D6" s="2">
        <v>56</v>
      </c>
      <c r="E6" s="2" t="s">
        <v>68</v>
      </c>
      <c r="F6" s="2" t="s">
        <v>24</v>
      </c>
      <c r="G6" s="2" t="s">
        <v>25</v>
      </c>
      <c r="H6" s="2" t="s">
        <v>51</v>
      </c>
      <c r="I6" s="2" t="s">
        <v>69</v>
      </c>
      <c r="J6" s="2" t="s">
        <v>70</v>
      </c>
      <c r="K6" s="2" t="s">
        <v>63</v>
      </c>
      <c r="L6" s="2" t="s">
        <v>44</v>
      </c>
      <c r="M6" s="2">
        <v>45773</v>
      </c>
      <c r="N6" s="2" t="s">
        <v>64</v>
      </c>
      <c r="O6" s="2">
        <v>8776</v>
      </c>
      <c r="P6" s="2" t="s">
        <v>32</v>
      </c>
      <c r="Q6" s="2">
        <v>16</v>
      </c>
      <c r="R6" s="48">
        <v>4</v>
      </c>
      <c r="S6" s="2" t="s">
        <v>33</v>
      </c>
      <c r="T6" s="2" t="s">
        <v>66</v>
      </c>
      <c r="U6" s="2" t="s">
        <v>46</v>
      </c>
    </row>
    <row r="7" spans="1:21">
      <c r="A7" s="2">
        <v>2873</v>
      </c>
      <c r="B7" s="2" t="s">
        <v>71</v>
      </c>
      <c r="C7" s="2" t="s">
        <v>22</v>
      </c>
      <c r="D7" s="2">
        <v>28</v>
      </c>
      <c r="E7" s="2" t="s">
        <v>38</v>
      </c>
      <c r="F7" s="2" t="s">
        <v>49</v>
      </c>
      <c r="G7" s="2" t="s">
        <v>72</v>
      </c>
      <c r="H7" s="2" t="s">
        <v>51</v>
      </c>
      <c r="I7" s="2" t="s">
        <v>73</v>
      </c>
      <c r="J7" s="2" t="s">
        <v>74</v>
      </c>
      <c r="K7" s="2" t="s">
        <v>29</v>
      </c>
      <c r="L7" s="2" t="s">
        <v>44</v>
      </c>
      <c r="M7" s="2">
        <v>96249</v>
      </c>
      <c r="N7" s="2" t="s">
        <v>31</v>
      </c>
      <c r="O7" s="2">
        <v>4826</v>
      </c>
      <c r="P7" s="2" t="s">
        <v>65</v>
      </c>
      <c r="Q7" s="2">
        <v>7</v>
      </c>
      <c r="R7" s="48">
        <v>3</v>
      </c>
      <c r="S7" s="2" t="s">
        <v>33</v>
      </c>
      <c r="T7" s="2" t="s">
        <v>75</v>
      </c>
      <c r="U7" s="2" t="s">
        <v>35</v>
      </c>
    </row>
    <row r="8" spans="1:21">
      <c r="A8" s="2">
        <v>3540</v>
      </c>
      <c r="B8" s="2" t="s">
        <v>76</v>
      </c>
      <c r="C8" s="2" t="s">
        <v>22</v>
      </c>
      <c r="D8" s="2">
        <v>20</v>
      </c>
      <c r="E8" s="2" t="s">
        <v>23</v>
      </c>
      <c r="F8" s="2" t="s">
        <v>39</v>
      </c>
      <c r="G8" s="2" t="s">
        <v>50</v>
      </c>
      <c r="H8" s="2" t="s">
        <v>51</v>
      </c>
      <c r="I8" s="2" t="s">
        <v>77</v>
      </c>
      <c r="J8" s="2" t="s">
        <v>78</v>
      </c>
      <c r="K8" s="2" t="s">
        <v>29</v>
      </c>
      <c r="L8" s="2" t="s">
        <v>54</v>
      </c>
      <c r="M8" s="2">
        <v>61596</v>
      </c>
      <c r="N8" s="2" t="s">
        <v>31</v>
      </c>
      <c r="O8" s="2">
        <v>8818</v>
      </c>
      <c r="P8" s="2" t="s">
        <v>65</v>
      </c>
      <c r="Q8" s="2">
        <v>4</v>
      </c>
      <c r="R8" s="48">
        <v>2</v>
      </c>
      <c r="S8" s="2" t="s">
        <v>33</v>
      </c>
      <c r="T8" s="2" t="s">
        <v>56</v>
      </c>
      <c r="U8" s="2" t="s">
        <v>46</v>
      </c>
    </row>
    <row r="9" spans="1:21">
      <c r="A9" s="2">
        <v>3653</v>
      </c>
      <c r="B9" s="2" t="s">
        <v>79</v>
      </c>
      <c r="C9" s="2" t="s">
        <v>22</v>
      </c>
      <c r="D9" s="2">
        <v>58</v>
      </c>
      <c r="E9" s="2" t="s">
        <v>68</v>
      </c>
      <c r="F9" s="2" t="s">
        <v>80</v>
      </c>
      <c r="G9" s="2" t="s">
        <v>40</v>
      </c>
      <c r="H9" s="2" t="s">
        <v>81</v>
      </c>
      <c r="I9" s="2" t="s">
        <v>82</v>
      </c>
      <c r="J9" s="2" t="s">
        <v>83</v>
      </c>
      <c r="K9" s="2" t="s">
        <v>29</v>
      </c>
      <c r="L9" s="2" t="s">
        <v>54</v>
      </c>
      <c r="M9" s="2">
        <v>97869</v>
      </c>
      <c r="N9" s="2" t="s">
        <v>64</v>
      </c>
      <c r="O9" s="2">
        <v>1966</v>
      </c>
      <c r="P9" s="2" t="s">
        <v>32</v>
      </c>
      <c r="Q9" s="2">
        <v>10</v>
      </c>
      <c r="R9" s="48">
        <v>1</v>
      </c>
      <c r="S9" s="2" t="s">
        <v>33</v>
      </c>
      <c r="T9" s="2" t="s">
        <v>34</v>
      </c>
      <c r="U9" s="2" t="s">
        <v>35</v>
      </c>
    </row>
    <row r="10" spans="1:21">
      <c r="A10" s="2">
        <v>5587</v>
      </c>
      <c r="B10" s="2" t="s">
        <v>84</v>
      </c>
      <c r="C10" s="2" t="s">
        <v>22</v>
      </c>
      <c r="D10" s="2">
        <v>44</v>
      </c>
      <c r="E10" s="2" t="s">
        <v>59</v>
      </c>
      <c r="F10" s="2" t="s">
        <v>80</v>
      </c>
      <c r="G10" s="2" t="s">
        <v>50</v>
      </c>
      <c r="H10" s="2" t="s">
        <v>51</v>
      </c>
      <c r="I10" s="2" t="s">
        <v>85</v>
      </c>
      <c r="J10" s="2" t="s">
        <v>86</v>
      </c>
      <c r="K10" s="2" t="s">
        <v>29</v>
      </c>
      <c r="L10" s="2" t="s">
        <v>30</v>
      </c>
      <c r="M10" s="2">
        <v>81235</v>
      </c>
      <c r="N10" s="2" t="s">
        <v>64</v>
      </c>
      <c r="O10" s="2">
        <v>6553</v>
      </c>
      <c r="P10" s="2" t="s">
        <v>46</v>
      </c>
      <c r="Q10" s="2">
        <v>16</v>
      </c>
      <c r="R10" s="48">
        <v>2</v>
      </c>
      <c r="S10" s="2" t="s">
        <v>46</v>
      </c>
      <c r="T10" s="2" t="s">
        <v>56</v>
      </c>
      <c r="U10" s="2" t="s">
        <v>35</v>
      </c>
    </row>
    <row r="11" spans="1:21">
      <c r="A11" s="2">
        <v>9554</v>
      </c>
      <c r="B11" s="2" t="s">
        <v>87</v>
      </c>
      <c r="C11" s="2" t="s">
        <v>22</v>
      </c>
      <c r="D11" s="2">
        <v>29</v>
      </c>
      <c r="E11" s="2" t="s">
        <v>38</v>
      </c>
      <c r="F11" s="2" t="s">
        <v>39</v>
      </c>
      <c r="G11" s="2" t="s">
        <v>50</v>
      </c>
      <c r="H11" s="2" t="s">
        <v>60</v>
      </c>
      <c r="I11" s="2" t="s">
        <v>88</v>
      </c>
      <c r="J11" s="2" t="s">
        <v>89</v>
      </c>
      <c r="K11" s="2" t="s">
        <v>29</v>
      </c>
      <c r="L11" s="2" t="s">
        <v>44</v>
      </c>
      <c r="M11" s="2">
        <v>87852</v>
      </c>
      <c r="N11" s="2" t="s">
        <v>64</v>
      </c>
      <c r="O11" s="2">
        <v>4980</v>
      </c>
      <c r="P11" s="2" t="s">
        <v>65</v>
      </c>
      <c r="Q11" s="2">
        <v>19</v>
      </c>
      <c r="R11" s="48">
        <v>3</v>
      </c>
      <c r="S11" s="2" t="s">
        <v>46</v>
      </c>
      <c r="T11" s="2" t="s">
        <v>66</v>
      </c>
      <c r="U11" s="2" t="s">
        <v>35</v>
      </c>
    </row>
    <row r="12" spans="1:21">
      <c r="A12" s="2">
        <v>6213</v>
      </c>
      <c r="B12" s="2" t="s">
        <v>90</v>
      </c>
      <c r="C12" s="2" t="s">
        <v>37</v>
      </c>
      <c r="D12" s="2">
        <v>23</v>
      </c>
      <c r="E12" s="2" t="s">
        <v>23</v>
      </c>
      <c r="F12" s="2" t="s">
        <v>80</v>
      </c>
      <c r="G12" s="2" t="s">
        <v>25</v>
      </c>
      <c r="H12" s="2" t="s">
        <v>51</v>
      </c>
      <c r="I12" s="2" t="s">
        <v>91</v>
      </c>
      <c r="J12" s="2" t="s">
        <v>92</v>
      </c>
      <c r="K12" s="2" t="s">
        <v>63</v>
      </c>
      <c r="L12" s="2" t="s">
        <v>44</v>
      </c>
      <c r="M12" s="2">
        <v>59359</v>
      </c>
      <c r="N12" s="2" t="s">
        <v>64</v>
      </c>
      <c r="O12" s="2">
        <v>9449</v>
      </c>
      <c r="P12" s="2" t="s">
        <v>65</v>
      </c>
      <c r="Q12" s="2">
        <v>20</v>
      </c>
      <c r="R12" s="48">
        <v>3</v>
      </c>
      <c r="S12" s="2" t="s">
        <v>46</v>
      </c>
      <c r="T12" s="2" t="s">
        <v>56</v>
      </c>
      <c r="U12" s="2" t="s">
        <v>46</v>
      </c>
    </row>
    <row r="13" spans="1:21">
      <c r="A13" s="2">
        <v>9105</v>
      </c>
      <c r="B13" s="2" t="s">
        <v>93</v>
      </c>
      <c r="C13" s="2" t="s">
        <v>37</v>
      </c>
      <c r="D13" s="2">
        <v>30</v>
      </c>
      <c r="E13" s="2" t="s">
        <v>38</v>
      </c>
      <c r="F13" s="2" t="s">
        <v>24</v>
      </c>
      <c r="G13" s="2" t="s">
        <v>40</v>
      </c>
      <c r="H13" s="2" t="s">
        <v>26</v>
      </c>
      <c r="I13" s="2" t="s">
        <v>94</v>
      </c>
      <c r="J13" s="2" t="s">
        <v>95</v>
      </c>
      <c r="K13" s="2" t="s">
        <v>63</v>
      </c>
      <c r="L13" s="2" t="s">
        <v>54</v>
      </c>
      <c r="M13" s="2">
        <v>81225</v>
      </c>
      <c r="N13" s="2" t="s">
        <v>55</v>
      </c>
      <c r="O13" s="2">
        <v>6202</v>
      </c>
      <c r="P13" s="2" t="s">
        <v>65</v>
      </c>
      <c r="Q13" s="2">
        <v>2</v>
      </c>
      <c r="R13" s="48">
        <v>2</v>
      </c>
      <c r="S13" s="2" t="s">
        <v>47</v>
      </c>
      <c r="T13" s="2" t="s">
        <v>96</v>
      </c>
      <c r="U13" s="2" t="s">
        <v>35</v>
      </c>
    </row>
    <row r="14" spans="1:21">
      <c r="A14" s="2">
        <v>9508</v>
      </c>
      <c r="B14" s="2" t="s">
        <v>97</v>
      </c>
      <c r="C14" s="2" t="s">
        <v>22</v>
      </c>
      <c r="D14" s="2">
        <v>49</v>
      </c>
      <c r="E14" s="2" t="s">
        <v>98</v>
      </c>
      <c r="F14" s="2" t="s">
        <v>39</v>
      </c>
      <c r="G14" s="2" t="s">
        <v>25</v>
      </c>
      <c r="H14" s="2" t="s">
        <v>26</v>
      </c>
      <c r="I14" s="2" t="s">
        <v>99</v>
      </c>
      <c r="J14" s="2" t="s">
        <v>100</v>
      </c>
      <c r="K14" s="2" t="s">
        <v>63</v>
      </c>
      <c r="L14" s="2" t="s">
        <v>30</v>
      </c>
      <c r="M14" s="2">
        <v>32788</v>
      </c>
      <c r="N14" s="2" t="s">
        <v>55</v>
      </c>
      <c r="O14" s="2">
        <v>4396</v>
      </c>
      <c r="P14" s="2" t="s">
        <v>32</v>
      </c>
      <c r="Q14" s="2">
        <v>13</v>
      </c>
      <c r="R14" s="48">
        <v>5</v>
      </c>
      <c r="S14" s="2" t="s">
        <v>46</v>
      </c>
      <c r="T14" s="2" t="s">
        <v>75</v>
      </c>
      <c r="U14" s="2" t="s">
        <v>57</v>
      </c>
    </row>
    <row r="15" spans="1:21">
      <c r="A15" s="2">
        <v>2436</v>
      </c>
      <c r="B15" s="2" t="s">
        <v>101</v>
      </c>
      <c r="C15" s="2" t="s">
        <v>37</v>
      </c>
      <c r="D15" s="2">
        <v>60</v>
      </c>
      <c r="E15" s="2" t="s">
        <v>68</v>
      </c>
      <c r="F15" s="2" t="s">
        <v>102</v>
      </c>
      <c r="G15" s="2" t="s">
        <v>25</v>
      </c>
      <c r="H15" s="2" t="s">
        <v>60</v>
      </c>
      <c r="I15" s="2" t="s">
        <v>103</v>
      </c>
      <c r="J15" s="2" t="s">
        <v>104</v>
      </c>
      <c r="K15" s="2" t="s">
        <v>63</v>
      </c>
      <c r="L15" s="2" t="s">
        <v>54</v>
      </c>
      <c r="M15" s="2">
        <v>70452</v>
      </c>
      <c r="N15" s="2" t="s">
        <v>55</v>
      </c>
      <c r="O15" s="2">
        <v>9911</v>
      </c>
      <c r="P15" s="2" t="s">
        <v>46</v>
      </c>
      <c r="Q15" s="2">
        <v>2</v>
      </c>
      <c r="R15" s="48">
        <v>1</v>
      </c>
      <c r="S15" s="2" t="s">
        <v>46</v>
      </c>
      <c r="T15" s="2" t="s">
        <v>75</v>
      </c>
      <c r="U15" s="2" t="s">
        <v>35</v>
      </c>
    </row>
    <row r="16" spans="1:21">
      <c r="A16" s="2">
        <v>4441</v>
      </c>
      <c r="B16" s="2" t="s">
        <v>105</v>
      </c>
      <c r="C16" s="2" t="s">
        <v>37</v>
      </c>
      <c r="D16" s="2">
        <v>46</v>
      </c>
      <c r="E16" s="2" t="s">
        <v>98</v>
      </c>
      <c r="F16" s="2" t="s">
        <v>39</v>
      </c>
      <c r="G16" s="2" t="s">
        <v>72</v>
      </c>
      <c r="H16" s="2" t="s">
        <v>26</v>
      </c>
      <c r="I16" s="2" t="s">
        <v>106</v>
      </c>
      <c r="J16" s="2" t="s">
        <v>107</v>
      </c>
      <c r="K16" s="2" t="s">
        <v>29</v>
      </c>
      <c r="L16" s="2" t="s">
        <v>44</v>
      </c>
      <c r="M16" s="2">
        <v>33045</v>
      </c>
      <c r="N16" s="2" t="s">
        <v>45</v>
      </c>
      <c r="O16" s="2">
        <v>1456</v>
      </c>
      <c r="P16" s="2" t="s">
        <v>46</v>
      </c>
      <c r="Q16" s="2">
        <v>16</v>
      </c>
      <c r="R16" s="48">
        <v>3</v>
      </c>
      <c r="S16" s="2" t="s">
        <v>47</v>
      </c>
      <c r="T16" s="2" t="s">
        <v>75</v>
      </c>
      <c r="U16" s="2" t="s">
        <v>46</v>
      </c>
    </row>
    <row r="17" spans="1:21">
      <c r="A17" s="2">
        <v>5827</v>
      </c>
      <c r="B17" s="2" t="s">
        <v>108</v>
      </c>
      <c r="C17" s="2" t="s">
        <v>37</v>
      </c>
      <c r="D17" s="2">
        <v>57</v>
      </c>
      <c r="E17" s="2" t="s">
        <v>68</v>
      </c>
      <c r="F17" s="2" t="s">
        <v>49</v>
      </c>
      <c r="G17" s="2" t="s">
        <v>72</v>
      </c>
      <c r="H17" s="2" t="s">
        <v>41</v>
      </c>
      <c r="I17" s="2" t="s">
        <v>109</v>
      </c>
      <c r="J17" s="2" t="s">
        <v>110</v>
      </c>
      <c r="K17" s="2" t="s">
        <v>111</v>
      </c>
      <c r="L17" s="2" t="s">
        <v>54</v>
      </c>
      <c r="M17" s="2">
        <v>96429</v>
      </c>
      <c r="N17" s="2" t="s">
        <v>31</v>
      </c>
      <c r="O17" s="2">
        <v>4740</v>
      </c>
      <c r="P17" s="2" t="s">
        <v>46</v>
      </c>
      <c r="Q17" s="2">
        <v>8</v>
      </c>
      <c r="R17" s="48">
        <v>1</v>
      </c>
      <c r="S17" s="2" t="s">
        <v>47</v>
      </c>
      <c r="T17" s="2" t="s">
        <v>66</v>
      </c>
      <c r="U17" s="2" t="s">
        <v>46</v>
      </c>
    </row>
    <row r="18" spans="1:21">
      <c r="A18" s="2">
        <v>5184</v>
      </c>
      <c r="B18" s="2" t="s">
        <v>112</v>
      </c>
      <c r="C18" s="2" t="s">
        <v>22</v>
      </c>
      <c r="D18" s="2">
        <v>24</v>
      </c>
      <c r="E18" s="2" t="s">
        <v>23</v>
      </c>
      <c r="F18" s="2" t="s">
        <v>39</v>
      </c>
      <c r="G18" s="2" t="s">
        <v>50</v>
      </c>
      <c r="H18" s="2" t="s">
        <v>51</v>
      </c>
      <c r="I18" s="2" t="s">
        <v>113</v>
      </c>
      <c r="J18" s="2" t="s">
        <v>114</v>
      </c>
      <c r="K18" s="2" t="s">
        <v>111</v>
      </c>
      <c r="L18" s="2" t="s">
        <v>54</v>
      </c>
      <c r="M18" s="2">
        <v>33183</v>
      </c>
      <c r="N18" s="2" t="s">
        <v>64</v>
      </c>
      <c r="O18" s="2">
        <v>8114</v>
      </c>
      <c r="P18" s="2" t="s">
        <v>46</v>
      </c>
      <c r="Q18" s="2">
        <v>4</v>
      </c>
      <c r="R18" s="48">
        <v>2</v>
      </c>
      <c r="S18" s="2" t="s">
        <v>47</v>
      </c>
      <c r="T18" s="2" t="s">
        <v>96</v>
      </c>
      <c r="U18" s="2" t="s">
        <v>57</v>
      </c>
    </row>
    <row r="19" spans="1:21">
      <c r="A19" s="2">
        <v>5874</v>
      </c>
      <c r="B19" s="2" t="s">
        <v>58</v>
      </c>
      <c r="C19" s="2" t="s">
        <v>22</v>
      </c>
      <c r="D19" s="2">
        <v>35</v>
      </c>
      <c r="E19" s="2" t="s">
        <v>38</v>
      </c>
      <c r="F19" s="2" t="s">
        <v>102</v>
      </c>
      <c r="G19" s="2" t="s">
        <v>72</v>
      </c>
      <c r="H19" s="2" t="s">
        <v>26</v>
      </c>
      <c r="I19" s="2" t="s">
        <v>115</v>
      </c>
      <c r="J19" s="2" t="s">
        <v>116</v>
      </c>
      <c r="K19" s="2" t="s">
        <v>111</v>
      </c>
      <c r="L19" s="2" t="s">
        <v>30</v>
      </c>
      <c r="M19" s="2">
        <v>75065</v>
      </c>
      <c r="N19" s="2" t="s">
        <v>31</v>
      </c>
      <c r="O19" s="2">
        <v>7123</v>
      </c>
      <c r="P19" s="2" t="s">
        <v>46</v>
      </c>
      <c r="Q19" s="2">
        <v>20</v>
      </c>
      <c r="R19" s="48">
        <v>2</v>
      </c>
      <c r="S19" s="2" t="s">
        <v>46</v>
      </c>
      <c r="T19" s="2" t="s">
        <v>34</v>
      </c>
      <c r="U19" s="2" t="s">
        <v>57</v>
      </c>
    </row>
    <row r="20" spans="1:21">
      <c r="A20" s="2">
        <v>9834</v>
      </c>
      <c r="B20" s="2" t="s">
        <v>117</v>
      </c>
      <c r="C20" s="2" t="s">
        <v>37</v>
      </c>
      <c r="D20" s="2">
        <v>41</v>
      </c>
      <c r="E20" s="2" t="s">
        <v>59</v>
      </c>
      <c r="F20" s="2" t="s">
        <v>39</v>
      </c>
      <c r="G20" s="2" t="s">
        <v>40</v>
      </c>
      <c r="H20" s="2" t="s">
        <v>81</v>
      </c>
      <c r="I20" s="2" t="s">
        <v>118</v>
      </c>
      <c r="J20" s="2" t="s">
        <v>119</v>
      </c>
      <c r="K20" s="2" t="s">
        <v>29</v>
      </c>
      <c r="L20" s="2" t="s">
        <v>54</v>
      </c>
      <c r="M20" s="2">
        <v>32877</v>
      </c>
      <c r="N20" s="2" t="s">
        <v>31</v>
      </c>
      <c r="O20" s="2">
        <v>6432</v>
      </c>
      <c r="P20" s="2" t="s">
        <v>32</v>
      </c>
      <c r="Q20" s="2">
        <v>11</v>
      </c>
      <c r="R20" s="48">
        <v>1</v>
      </c>
      <c r="S20" s="2" t="s">
        <v>46</v>
      </c>
      <c r="T20" s="2" t="s">
        <v>34</v>
      </c>
      <c r="U20" s="2" t="s">
        <v>46</v>
      </c>
    </row>
    <row r="21" spans="1:21">
      <c r="A21" s="2">
        <v>5096</v>
      </c>
      <c r="B21" s="2" t="s">
        <v>120</v>
      </c>
      <c r="C21" s="2" t="s">
        <v>37</v>
      </c>
      <c r="D21" s="2">
        <v>36</v>
      </c>
      <c r="E21" s="2" t="s">
        <v>59</v>
      </c>
      <c r="F21" s="2" t="s">
        <v>39</v>
      </c>
      <c r="G21" s="2" t="s">
        <v>121</v>
      </c>
      <c r="H21" s="2" t="s">
        <v>60</v>
      </c>
      <c r="I21" s="2" t="s">
        <v>122</v>
      </c>
      <c r="J21" s="2" t="s">
        <v>123</v>
      </c>
      <c r="K21" s="2" t="s">
        <v>29</v>
      </c>
      <c r="L21" s="2" t="s">
        <v>44</v>
      </c>
      <c r="M21" s="2">
        <v>46811</v>
      </c>
      <c r="N21" s="2" t="s">
        <v>55</v>
      </c>
      <c r="O21" s="2">
        <v>1567</v>
      </c>
      <c r="P21" s="2" t="s">
        <v>46</v>
      </c>
      <c r="Q21" s="2">
        <v>7</v>
      </c>
      <c r="R21" s="48">
        <v>3</v>
      </c>
      <c r="S21" s="2" t="s">
        <v>47</v>
      </c>
      <c r="T21" s="2" t="s">
        <v>34</v>
      </c>
      <c r="U21" s="2" t="s">
        <v>57</v>
      </c>
    </row>
    <row r="22" spans="1:21">
      <c r="A22" s="2">
        <v>2263</v>
      </c>
      <c r="B22" s="2" t="s">
        <v>124</v>
      </c>
      <c r="C22" s="2" t="s">
        <v>37</v>
      </c>
      <c r="D22" s="2">
        <v>31</v>
      </c>
      <c r="E22" s="2" t="s">
        <v>38</v>
      </c>
      <c r="F22" s="2" t="s">
        <v>80</v>
      </c>
      <c r="G22" s="2" t="s">
        <v>50</v>
      </c>
      <c r="H22" s="2" t="s">
        <v>41</v>
      </c>
      <c r="I22" s="2" t="s">
        <v>125</v>
      </c>
      <c r="J22" s="2" t="s">
        <v>126</v>
      </c>
      <c r="K22" s="2" t="s">
        <v>63</v>
      </c>
      <c r="L22" s="2" t="s">
        <v>44</v>
      </c>
      <c r="M22" s="2">
        <v>87538</v>
      </c>
      <c r="N22" s="2" t="s">
        <v>31</v>
      </c>
      <c r="O22" s="2">
        <v>3588</v>
      </c>
      <c r="P22" s="2" t="s">
        <v>65</v>
      </c>
      <c r="Q22" s="2">
        <v>11</v>
      </c>
      <c r="R22" s="48">
        <v>5</v>
      </c>
      <c r="S22" s="2" t="s">
        <v>47</v>
      </c>
      <c r="T22" s="2" t="s">
        <v>66</v>
      </c>
      <c r="U22" s="2" t="s">
        <v>46</v>
      </c>
    </row>
    <row r="23" spans="1:21">
      <c r="A23" s="2">
        <v>6505</v>
      </c>
      <c r="B23" s="2" t="s">
        <v>127</v>
      </c>
      <c r="C23" s="2" t="s">
        <v>22</v>
      </c>
      <c r="D23" s="2">
        <v>28</v>
      </c>
      <c r="E23" s="2" t="s">
        <v>38</v>
      </c>
      <c r="F23" s="2" t="s">
        <v>24</v>
      </c>
      <c r="G23" s="2" t="s">
        <v>40</v>
      </c>
      <c r="H23" s="2" t="s">
        <v>81</v>
      </c>
      <c r="I23" s="2" t="s">
        <v>128</v>
      </c>
      <c r="J23" s="2" t="s">
        <v>129</v>
      </c>
      <c r="K23" s="2" t="s">
        <v>29</v>
      </c>
      <c r="L23" s="2" t="s">
        <v>44</v>
      </c>
      <c r="M23" s="2">
        <v>73002</v>
      </c>
      <c r="N23" s="2" t="s">
        <v>31</v>
      </c>
      <c r="O23" s="2">
        <v>6296</v>
      </c>
      <c r="P23" s="2" t="s">
        <v>32</v>
      </c>
      <c r="Q23" s="2">
        <v>2</v>
      </c>
      <c r="R23" s="48">
        <v>5</v>
      </c>
      <c r="S23" s="2" t="s">
        <v>47</v>
      </c>
      <c r="T23" s="2" t="s">
        <v>56</v>
      </c>
      <c r="U23" s="2" t="s">
        <v>35</v>
      </c>
    </row>
    <row r="24" spans="1:21">
      <c r="A24" s="2">
        <v>8626</v>
      </c>
      <c r="B24" s="2" t="s">
        <v>130</v>
      </c>
      <c r="C24" s="2" t="s">
        <v>37</v>
      </c>
      <c r="D24" s="2">
        <v>37</v>
      </c>
      <c r="E24" s="2" t="s">
        <v>59</v>
      </c>
      <c r="F24" s="2" t="s">
        <v>80</v>
      </c>
      <c r="G24" s="2" t="s">
        <v>40</v>
      </c>
      <c r="H24" s="2" t="s">
        <v>60</v>
      </c>
      <c r="I24" s="2" t="s">
        <v>131</v>
      </c>
      <c r="J24" s="2" t="s">
        <v>132</v>
      </c>
      <c r="K24" s="2" t="s">
        <v>111</v>
      </c>
      <c r="L24" s="2" t="s">
        <v>54</v>
      </c>
      <c r="M24" s="2">
        <v>41653</v>
      </c>
      <c r="N24" s="2" t="s">
        <v>55</v>
      </c>
      <c r="O24" s="2">
        <v>9236</v>
      </c>
      <c r="P24" s="2" t="s">
        <v>46</v>
      </c>
      <c r="Q24" s="2">
        <v>13</v>
      </c>
      <c r="R24" s="48">
        <v>1</v>
      </c>
      <c r="S24" s="2" t="s">
        <v>47</v>
      </c>
      <c r="T24" s="2" t="s">
        <v>34</v>
      </c>
      <c r="U24" s="2" t="s">
        <v>46</v>
      </c>
    </row>
    <row r="25" spans="1:21">
      <c r="A25" s="2">
        <v>5979</v>
      </c>
      <c r="B25" s="2" t="s">
        <v>133</v>
      </c>
      <c r="C25" s="2" t="s">
        <v>22</v>
      </c>
      <c r="D25" s="2">
        <v>31</v>
      </c>
      <c r="E25" s="2" t="s">
        <v>38</v>
      </c>
      <c r="F25" s="2" t="s">
        <v>24</v>
      </c>
      <c r="G25" s="2" t="s">
        <v>25</v>
      </c>
      <c r="H25" s="2" t="s">
        <v>51</v>
      </c>
      <c r="I25" s="2" t="s">
        <v>134</v>
      </c>
      <c r="J25" s="2" t="s">
        <v>135</v>
      </c>
      <c r="K25" s="2" t="s">
        <v>63</v>
      </c>
      <c r="L25" s="2" t="s">
        <v>44</v>
      </c>
      <c r="M25" s="2">
        <v>67582</v>
      </c>
      <c r="N25" s="2" t="s">
        <v>64</v>
      </c>
      <c r="O25" s="2">
        <v>1375</v>
      </c>
      <c r="P25" s="2" t="s">
        <v>32</v>
      </c>
      <c r="Q25" s="2">
        <v>20</v>
      </c>
      <c r="R25" s="48">
        <v>3</v>
      </c>
      <c r="S25" s="2" t="s">
        <v>47</v>
      </c>
      <c r="T25" s="2" t="s">
        <v>56</v>
      </c>
      <c r="U25" s="2" t="s">
        <v>46</v>
      </c>
    </row>
    <row r="26" spans="1:21">
      <c r="A26" s="2">
        <v>3104</v>
      </c>
      <c r="B26" s="2" t="s">
        <v>136</v>
      </c>
      <c r="C26" s="2" t="s">
        <v>22</v>
      </c>
      <c r="D26" s="2">
        <v>23</v>
      </c>
      <c r="E26" s="2" t="s">
        <v>23</v>
      </c>
      <c r="F26" s="2" t="s">
        <v>80</v>
      </c>
      <c r="G26" s="2" t="s">
        <v>40</v>
      </c>
      <c r="H26" s="2" t="s">
        <v>41</v>
      </c>
      <c r="I26" s="2" t="s">
        <v>137</v>
      </c>
      <c r="J26" s="2" t="s">
        <v>138</v>
      </c>
      <c r="K26" s="2" t="s">
        <v>111</v>
      </c>
      <c r="L26" s="2" t="s">
        <v>44</v>
      </c>
      <c r="M26" s="2">
        <v>37351</v>
      </c>
      <c r="N26" s="2" t="s">
        <v>55</v>
      </c>
      <c r="O26" s="2">
        <v>7858</v>
      </c>
      <c r="P26" s="2" t="s">
        <v>65</v>
      </c>
      <c r="Q26" s="2">
        <v>18</v>
      </c>
      <c r="R26" s="48">
        <v>2</v>
      </c>
      <c r="S26" s="2" t="s">
        <v>33</v>
      </c>
      <c r="T26" s="2" t="s">
        <v>56</v>
      </c>
      <c r="U26" s="2" t="s">
        <v>57</v>
      </c>
    </row>
    <row r="27" spans="1:21">
      <c r="A27" s="2">
        <v>8967</v>
      </c>
      <c r="B27" s="2" t="s">
        <v>139</v>
      </c>
      <c r="C27" s="2" t="s">
        <v>22</v>
      </c>
      <c r="D27" s="2">
        <v>48</v>
      </c>
      <c r="E27" s="2" t="s">
        <v>98</v>
      </c>
      <c r="F27" s="2" t="s">
        <v>102</v>
      </c>
      <c r="G27" s="2" t="s">
        <v>50</v>
      </c>
      <c r="H27" s="2" t="s">
        <v>26</v>
      </c>
      <c r="I27" s="2" t="s">
        <v>140</v>
      </c>
      <c r="J27" s="2" t="s">
        <v>141</v>
      </c>
      <c r="K27" s="2" t="s">
        <v>29</v>
      </c>
      <c r="L27" s="2" t="s">
        <v>44</v>
      </c>
      <c r="M27" s="2">
        <v>36721</v>
      </c>
      <c r="N27" s="2" t="s">
        <v>45</v>
      </c>
      <c r="O27" s="2">
        <v>8820</v>
      </c>
      <c r="P27" s="2" t="s">
        <v>65</v>
      </c>
      <c r="Q27" s="2">
        <v>0</v>
      </c>
      <c r="R27" s="48">
        <v>2</v>
      </c>
      <c r="S27" s="2" t="s">
        <v>47</v>
      </c>
      <c r="T27" s="2" t="s">
        <v>56</v>
      </c>
      <c r="U27" s="2" t="s">
        <v>35</v>
      </c>
    </row>
    <row r="28" spans="1:21">
      <c r="A28" s="2">
        <v>5087</v>
      </c>
      <c r="B28" s="2" t="s">
        <v>142</v>
      </c>
      <c r="C28" s="2" t="s">
        <v>37</v>
      </c>
      <c r="D28" s="2">
        <v>28</v>
      </c>
      <c r="E28" s="2" t="s">
        <v>38</v>
      </c>
      <c r="F28" s="2" t="s">
        <v>49</v>
      </c>
      <c r="G28" s="2" t="s">
        <v>121</v>
      </c>
      <c r="H28" s="2" t="s">
        <v>26</v>
      </c>
      <c r="I28" s="2" t="s">
        <v>143</v>
      </c>
      <c r="J28" s="2" t="s">
        <v>144</v>
      </c>
      <c r="K28" s="2" t="s">
        <v>63</v>
      </c>
      <c r="L28" s="2" t="s">
        <v>54</v>
      </c>
      <c r="M28" s="2">
        <v>46326</v>
      </c>
      <c r="N28" s="2" t="s">
        <v>45</v>
      </c>
      <c r="O28" s="2">
        <v>9189</v>
      </c>
      <c r="P28" s="2" t="s">
        <v>65</v>
      </c>
      <c r="Q28" s="2">
        <v>8</v>
      </c>
      <c r="R28" s="48">
        <v>4</v>
      </c>
      <c r="S28" s="2" t="s">
        <v>33</v>
      </c>
      <c r="T28" s="2" t="s">
        <v>75</v>
      </c>
      <c r="U28" s="2" t="s">
        <v>57</v>
      </c>
    </row>
    <row r="29" spans="1:21">
      <c r="A29" s="2">
        <v>3358</v>
      </c>
      <c r="B29" s="2" t="s">
        <v>145</v>
      </c>
      <c r="C29" s="2" t="s">
        <v>37</v>
      </c>
      <c r="D29" s="2">
        <v>30</v>
      </c>
      <c r="E29" s="2" t="s">
        <v>38</v>
      </c>
      <c r="F29" s="2" t="s">
        <v>39</v>
      </c>
      <c r="G29" s="2" t="s">
        <v>72</v>
      </c>
      <c r="H29" s="2" t="s">
        <v>41</v>
      </c>
      <c r="I29" s="2" t="s">
        <v>146</v>
      </c>
      <c r="J29" s="2" t="s">
        <v>147</v>
      </c>
      <c r="K29" s="2" t="s">
        <v>29</v>
      </c>
      <c r="L29" s="2" t="s">
        <v>30</v>
      </c>
      <c r="M29" s="2">
        <v>59007</v>
      </c>
      <c r="N29" s="2" t="s">
        <v>31</v>
      </c>
      <c r="O29" s="2">
        <v>3380</v>
      </c>
      <c r="P29" s="2" t="s">
        <v>32</v>
      </c>
      <c r="Q29" s="2">
        <v>17</v>
      </c>
      <c r="R29" s="48">
        <v>3</v>
      </c>
      <c r="S29" s="2" t="s">
        <v>46</v>
      </c>
      <c r="T29" s="2" t="s">
        <v>96</v>
      </c>
      <c r="U29" s="2" t="s">
        <v>35</v>
      </c>
    </row>
    <row r="30" spans="1:21">
      <c r="A30" s="2">
        <v>8256</v>
      </c>
      <c r="B30" s="2" t="s">
        <v>148</v>
      </c>
      <c r="C30" s="2" t="s">
        <v>37</v>
      </c>
      <c r="D30" s="2">
        <v>46</v>
      </c>
      <c r="E30" s="2" t="s">
        <v>98</v>
      </c>
      <c r="F30" s="2" t="s">
        <v>80</v>
      </c>
      <c r="G30" s="2" t="s">
        <v>25</v>
      </c>
      <c r="H30" s="2" t="s">
        <v>60</v>
      </c>
      <c r="I30" s="2" t="s">
        <v>149</v>
      </c>
      <c r="J30" s="2" t="s">
        <v>150</v>
      </c>
      <c r="K30" s="2" t="s">
        <v>29</v>
      </c>
      <c r="L30" s="2" t="s">
        <v>44</v>
      </c>
      <c r="M30" s="2">
        <v>52020</v>
      </c>
      <c r="N30" s="2" t="s">
        <v>45</v>
      </c>
      <c r="O30" s="2">
        <v>9585</v>
      </c>
      <c r="P30" s="2" t="s">
        <v>65</v>
      </c>
      <c r="Q30" s="2">
        <v>0</v>
      </c>
      <c r="R30" s="48">
        <v>4</v>
      </c>
      <c r="S30" s="2" t="s">
        <v>47</v>
      </c>
      <c r="T30" s="2" t="s">
        <v>96</v>
      </c>
      <c r="U30" s="2" t="s">
        <v>46</v>
      </c>
    </row>
    <row r="31" spans="1:21">
      <c r="A31" s="2">
        <v>5763</v>
      </c>
      <c r="B31" s="2" t="s">
        <v>151</v>
      </c>
      <c r="C31" s="2" t="s">
        <v>37</v>
      </c>
      <c r="D31" s="2">
        <v>44</v>
      </c>
      <c r="E31" s="2" t="s">
        <v>59</v>
      </c>
      <c r="F31" s="2" t="s">
        <v>39</v>
      </c>
      <c r="G31" s="2" t="s">
        <v>50</v>
      </c>
      <c r="H31" s="2" t="s">
        <v>41</v>
      </c>
      <c r="I31" s="2" t="s">
        <v>152</v>
      </c>
      <c r="J31" s="2" t="s">
        <v>153</v>
      </c>
      <c r="K31" s="2" t="s">
        <v>111</v>
      </c>
      <c r="L31" s="2" t="s">
        <v>44</v>
      </c>
      <c r="M31" s="2">
        <v>98961</v>
      </c>
      <c r="N31" s="2" t="s">
        <v>55</v>
      </c>
      <c r="O31" s="2">
        <v>2688</v>
      </c>
      <c r="P31" s="2" t="s">
        <v>32</v>
      </c>
      <c r="Q31" s="2">
        <v>2</v>
      </c>
      <c r="R31" s="48">
        <v>5</v>
      </c>
      <c r="S31" s="2" t="s">
        <v>47</v>
      </c>
      <c r="T31" s="2" t="s">
        <v>96</v>
      </c>
      <c r="U31" s="2" t="s">
        <v>35</v>
      </c>
    </row>
    <row r="32" spans="1:21">
      <c r="A32" s="2">
        <v>6838</v>
      </c>
      <c r="B32" s="2" t="s">
        <v>154</v>
      </c>
      <c r="C32" s="2" t="s">
        <v>37</v>
      </c>
      <c r="D32" s="2">
        <v>45</v>
      </c>
      <c r="E32" s="2" t="s">
        <v>59</v>
      </c>
      <c r="F32" s="2" t="s">
        <v>49</v>
      </c>
      <c r="G32" s="2" t="s">
        <v>72</v>
      </c>
      <c r="H32" s="2" t="s">
        <v>51</v>
      </c>
      <c r="I32" s="2" t="s">
        <v>155</v>
      </c>
      <c r="J32" s="2" t="s">
        <v>156</v>
      </c>
      <c r="K32" s="2" t="s">
        <v>111</v>
      </c>
      <c r="L32" s="2" t="s">
        <v>44</v>
      </c>
      <c r="M32" s="2">
        <v>81943</v>
      </c>
      <c r="N32" s="2" t="s">
        <v>31</v>
      </c>
      <c r="O32" s="2">
        <v>2255</v>
      </c>
      <c r="P32" s="2" t="s">
        <v>32</v>
      </c>
      <c r="Q32" s="2">
        <v>18</v>
      </c>
      <c r="R32" s="48">
        <v>2</v>
      </c>
      <c r="S32" s="2" t="s">
        <v>46</v>
      </c>
      <c r="T32" s="2" t="s">
        <v>66</v>
      </c>
      <c r="U32" s="2" t="s">
        <v>35</v>
      </c>
    </row>
    <row r="33" spans="1:21">
      <c r="A33" s="2">
        <v>9544</v>
      </c>
      <c r="B33" s="2" t="s">
        <v>157</v>
      </c>
      <c r="C33" s="2" t="s">
        <v>37</v>
      </c>
      <c r="D33" s="2">
        <v>52</v>
      </c>
      <c r="E33" s="2" t="s">
        <v>98</v>
      </c>
      <c r="F33" s="2" t="s">
        <v>102</v>
      </c>
      <c r="G33" s="2" t="s">
        <v>50</v>
      </c>
      <c r="H33" s="2" t="s">
        <v>41</v>
      </c>
      <c r="I33" s="2" t="s">
        <v>158</v>
      </c>
      <c r="J33" s="2" t="s">
        <v>159</v>
      </c>
      <c r="K33" s="2" t="s">
        <v>111</v>
      </c>
      <c r="L33" s="2" t="s">
        <v>44</v>
      </c>
      <c r="M33" s="2">
        <v>47627</v>
      </c>
      <c r="N33" s="2" t="s">
        <v>31</v>
      </c>
      <c r="O33" s="2">
        <v>1221</v>
      </c>
      <c r="P33" s="2" t="s">
        <v>46</v>
      </c>
      <c r="Q33" s="2">
        <v>4</v>
      </c>
      <c r="R33" s="48">
        <v>3</v>
      </c>
      <c r="S33" s="2" t="s">
        <v>46</v>
      </c>
      <c r="T33" s="2" t="s">
        <v>56</v>
      </c>
      <c r="U33" s="2" t="s">
        <v>46</v>
      </c>
    </row>
    <row r="34" spans="1:21">
      <c r="A34" s="2">
        <v>8012</v>
      </c>
      <c r="B34" s="2" t="s">
        <v>160</v>
      </c>
      <c r="C34" s="2" t="s">
        <v>22</v>
      </c>
      <c r="D34" s="2">
        <v>52</v>
      </c>
      <c r="E34" s="2" t="s">
        <v>98</v>
      </c>
      <c r="F34" s="2" t="s">
        <v>24</v>
      </c>
      <c r="G34" s="2" t="s">
        <v>25</v>
      </c>
      <c r="H34" s="2" t="s">
        <v>81</v>
      </c>
      <c r="I34" s="2" t="s">
        <v>161</v>
      </c>
      <c r="J34" s="2" t="s">
        <v>162</v>
      </c>
      <c r="K34" s="2" t="s">
        <v>111</v>
      </c>
      <c r="L34" s="2" t="s">
        <v>44</v>
      </c>
      <c r="M34" s="2">
        <v>56162</v>
      </c>
      <c r="N34" s="2" t="s">
        <v>55</v>
      </c>
      <c r="O34" s="2">
        <v>6560</v>
      </c>
      <c r="P34" s="2" t="s">
        <v>65</v>
      </c>
      <c r="Q34" s="2">
        <v>9</v>
      </c>
      <c r="R34" s="48">
        <v>4</v>
      </c>
      <c r="S34" s="2" t="s">
        <v>47</v>
      </c>
      <c r="T34" s="2" t="s">
        <v>75</v>
      </c>
      <c r="U34" s="2" t="s">
        <v>46</v>
      </c>
    </row>
    <row r="35" spans="1:21">
      <c r="A35" s="2">
        <v>9374</v>
      </c>
      <c r="B35" s="2" t="s">
        <v>163</v>
      </c>
      <c r="C35" s="2" t="s">
        <v>22</v>
      </c>
      <c r="D35" s="2">
        <v>42</v>
      </c>
      <c r="E35" s="2" t="s">
        <v>59</v>
      </c>
      <c r="F35" s="2" t="s">
        <v>39</v>
      </c>
      <c r="G35" s="2" t="s">
        <v>50</v>
      </c>
      <c r="H35" s="2" t="s">
        <v>51</v>
      </c>
      <c r="I35" s="2" t="s">
        <v>164</v>
      </c>
      <c r="J35" s="2" t="s">
        <v>165</v>
      </c>
      <c r="K35" s="2" t="s">
        <v>63</v>
      </c>
      <c r="L35" s="2" t="s">
        <v>54</v>
      </c>
      <c r="M35" s="2">
        <v>95734</v>
      </c>
      <c r="N35" s="2" t="s">
        <v>31</v>
      </c>
      <c r="O35" s="2">
        <v>4854</v>
      </c>
      <c r="P35" s="2" t="s">
        <v>32</v>
      </c>
      <c r="Q35" s="2">
        <v>13</v>
      </c>
      <c r="R35" s="48">
        <v>2</v>
      </c>
      <c r="S35" s="2" t="s">
        <v>33</v>
      </c>
      <c r="T35" s="2" t="s">
        <v>34</v>
      </c>
      <c r="U35" s="2" t="s">
        <v>35</v>
      </c>
    </row>
    <row r="36" spans="1:21">
      <c r="A36" s="2">
        <v>3487</v>
      </c>
      <c r="B36" s="2" t="s">
        <v>166</v>
      </c>
      <c r="C36" s="2" t="s">
        <v>37</v>
      </c>
      <c r="D36" s="2">
        <v>58</v>
      </c>
      <c r="E36" s="2" t="s">
        <v>68</v>
      </c>
      <c r="F36" s="2" t="s">
        <v>39</v>
      </c>
      <c r="G36" s="2" t="s">
        <v>40</v>
      </c>
      <c r="H36" s="2" t="s">
        <v>60</v>
      </c>
      <c r="I36" s="2" t="s">
        <v>167</v>
      </c>
      <c r="J36" s="2" t="s">
        <v>168</v>
      </c>
      <c r="K36" s="2" t="s">
        <v>63</v>
      </c>
      <c r="L36" s="2" t="s">
        <v>54</v>
      </c>
      <c r="M36" s="2">
        <v>74789</v>
      </c>
      <c r="N36" s="2" t="s">
        <v>31</v>
      </c>
      <c r="O36" s="2">
        <v>8101</v>
      </c>
      <c r="P36" s="2" t="s">
        <v>65</v>
      </c>
      <c r="Q36" s="2">
        <v>14</v>
      </c>
      <c r="R36" s="48">
        <v>5</v>
      </c>
      <c r="S36" s="2" t="s">
        <v>47</v>
      </c>
      <c r="T36" s="2" t="s">
        <v>66</v>
      </c>
      <c r="U36" s="2" t="s">
        <v>46</v>
      </c>
    </row>
    <row r="37" spans="1:21">
      <c r="A37" s="2">
        <v>8445</v>
      </c>
      <c r="B37" s="2" t="s">
        <v>169</v>
      </c>
      <c r="C37" s="2" t="s">
        <v>22</v>
      </c>
      <c r="D37" s="2">
        <v>24</v>
      </c>
      <c r="E37" s="2" t="s">
        <v>23</v>
      </c>
      <c r="F37" s="2" t="s">
        <v>102</v>
      </c>
      <c r="G37" s="2" t="s">
        <v>25</v>
      </c>
      <c r="H37" s="2" t="s">
        <v>60</v>
      </c>
      <c r="I37" s="2" t="s">
        <v>170</v>
      </c>
      <c r="J37" s="2" t="s">
        <v>171</v>
      </c>
      <c r="K37" s="2" t="s">
        <v>29</v>
      </c>
      <c r="L37" s="2" t="s">
        <v>54</v>
      </c>
      <c r="M37" s="2">
        <v>30137</v>
      </c>
      <c r="N37" s="2" t="s">
        <v>45</v>
      </c>
      <c r="O37" s="2">
        <v>4031</v>
      </c>
      <c r="P37" s="2" t="s">
        <v>46</v>
      </c>
      <c r="Q37" s="2">
        <v>5</v>
      </c>
      <c r="R37" s="48">
        <v>3</v>
      </c>
      <c r="S37" s="2" t="s">
        <v>46</v>
      </c>
      <c r="T37" s="2" t="s">
        <v>56</v>
      </c>
      <c r="U37" s="2" t="s">
        <v>35</v>
      </c>
    </row>
    <row r="38" spans="1:21">
      <c r="A38" s="2">
        <v>1550</v>
      </c>
      <c r="B38" s="2" t="s">
        <v>172</v>
      </c>
      <c r="C38" s="2" t="s">
        <v>37</v>
      </c>
      <c r="D38" s="2">
        <v>21</v>
      </c>
      <c r="E38" s="2" t="s">
        <v>23</v>
      </c>
      <c r="F38" s="2" t="s">
        <v>39</v>
      </c>
      <c r="G38" s="2" t="s">
        <v>25</v>
      </c>
      <c r="H38" s="2" t="s">
        <v>26</v>
      </c>
      <c r="I38" s="2" t="s">
        <v>173</v>
      </c>
      <c r="J38" s="2" t="s">
        <v>174</v>
      </c>
      <c r="K38" s="2" t="s">
        <v>29</v>
      </c>
      <c r="L38" s="2" t="s">
        <v>54</v>
      </c>
      <c r="M38" s="2">
        <v>95510</v>
      </c>
      <c r="N38" s="2" t="s">
        <v>31</v>
      </c>
      <c r="O38" s="2">
        <v>6811</v>
      </c>
      <c r="P38" s="2" t="s">
        <v>32</v>
      </c>
      <c r="Q38" s="2">
        <v>18</v>
      </c>
      <c r="R38" s="48">
        <v>4</v>
      </c>
      <c r="S38" s="2" t="s">
        <v>47</v>
      </c>
      <c r="T38" s="2" t="s">
        <v>96</v>
      </c>
      <c r="U38" s="2" t="s">
        <v>35</v>
      </c>
    </row>
    <row r="39" spans="1:21">
      <c r="A39" s="2">
        <v>9968</v>
      </c>
      <c r="B39" s="2" t="s">
        <v>175</v>
      </c>
      <c r="C39" s="2" t="s">
        <v>37</v>
      </c>
      <c r="D39" s="2">
        <v>58</v>
      </c>
      <c r="E39" s="2" t="s">
        <v>68</v>
      </c>
      <c r="F39" s="2" t="s">
        <v>39</v>
      </c>
      <c r="G39" s="2" t="s">
        <v>72</v>
      </c>
      <c r="H39" s="2" t="s">
        <v>26</v>
      </c>
      <c r="I39" s="2" t="s">
        <v>176</v>
      </c>
      <c r="J39" s="2" t="s">
        <v>177</v>
      </c>
      <c r="K39" s="2" t="s">
        <v>63</v>
      </c>
      <c r="L39" s="2" t="s">
        <v>30</v>
      </c>
      <c r="M39" s="2">
        <v>80325</v>
      </c>
      <c r="N39" s="2" t="s">
        <v>45</v>
      </c>
      <c r="O39" s="2">
        <v>6230</v>
      </c>
      <c r="P39" s="2" t="s">
        <v>32</v>
      </c>
      <c r="Q39" s="2">
        <v>5</v>
      </c>
      <c r="R39" s="48">
        <v>4</v>
      </c>
      <c r="S39" s="2" t="s">
        <v>46</v>
      </c>
      <c r="T39" s="2" t="s">
        <v>66</v>
      </c>
      <c r="U39" s="2" t="s">
        <v>57</v>
      </c>
    </row>
    <row r="40" spans="1:21">
      <c r="A40" s="2">
        <v>8029</v>
      </c>
      <c r="B40" s="2" t="s">
        <v>178</v>
      </c>
      <c r="C40" s="2" t="s">
        <v>22</v>
      </c>
      <c r="D40" s="2">
        <v>57</v>
      </c>
      <c r="E40" s="2" t="s">
        <v>68</v>
      </c>
      <c r="F40" s="2" t="s">
        <v>80</v>
      </c>
      <c r="G40" s="2" t="s">
        <v>121</v>
      </c>
      <c r="H40" s="2" t="s">
        <v>81</v>
      </c>
      <c r="I40" s="2" t="s">
        <v>179</v>
      </c>
      <c r="J40" s="2" t="s">
        <v>180</v>
      </c>
      <c r="K40" s="2" t="s">
        <v>111</v>
      </c>
      <c r="L40" s="2" t="s">
        <v>44</v>
      </c>
      <c r="M40" s="2">
        <v>34109</v>
      </c>
      <c r="N40" s="2" t="s">
        <v>45</v>
      </c>
      <c r="O40" s="2">
        <v>9232</v>
      </c>
      <c r="P40" s="2" t="s">
        <v>32</v>
      </c>
      <c r="Q40" s="2">
        <v>13</v>
      </c>
      <c r="R40" s="48">
        <v>3</v>
      </c>
      <c r="S40" s="2" t="s">
        <v>33</v>
      </c>
      <c r="T40" s="2" t="s">
        <v>34</v>
      </c>
      <c r="U40" s="2" t="s">
        <v>35</v>
      </c>
    </row>
    <row r="41" spans="1:21">
      <c r="A41" s="2">
        <v>8847</v>
      </c>
      <c r="B41" s="2" t="s">
        <v>181</v>
      </c>
      <c r="C41" s="2" t="s">
        <v>37</v>
      </c>
      <c r="D41" s="2">
        <v>41</v>
      </c>
      <c r="E41" s="2" t="s">
        <v>59</v>
      </c>
      <c r="F41" s="2" t="s">
        <v>80</v>
      </c>
      <c r="G41" s="2" t="s">
        <v>72</v>
      </c>
      <c r="H41" s="2" t="s">
        <v>26</v>
      </c>
      <c r="I41" s="2" t="s">
        <v>182</v>
      </c>
      <c r="J41" s="2" t="s">
        <v>183</v>
      </c>
      <c r="K41" s="2" t="s">
        <v>111</v>
      </c>
      <c r="L41" s="2" t="s">
        <v>54</v>
      </c>
      <c r="M41" s="2">
        <v>73330</v>
      </c>
      <c r="N41" s="2" t="s">
        <v>31</v>
      </c>
      <c r="O41" s="2">
        <v>2276</v>
      </c>
      <c r="P41" s="2" t="s">
        <v>65</v>
      </c>
      <c r="Q41" s="2">
        <v>5</v>
      </c>
      <c r="R41" s="48">
        <v>1</v>
      </c>
      <c r="S41" s="2" t="s">
        <v>46</v>
      </c>
      <c r="T41" s="2" t="s">
        <v>56</v>
      </c>
      <c r="U41" s="2" t="s">
        <v>57</v>
      </c>
    </row>
    <row r="42" spans="1:21">
      <c r="A42" s="2">
        <v>1955</v>
      </c>
      <c r="B42" s="2" t="s">
        <v>184</v>
      </c>
      <c r="C42" s="2" t="s">
        <v>22</v>
      </c>
      <c r="D42" s="2">
        <v>58</v>
      </c>
      <c r="E42" s="2" t="s">
        <v>68</v>
      </c>
      <c r="F42" s="2" t="s">
        <v>49</v>
      </c>
      <c r="G42" s="2" t="s">
        <v>50</v>
      </c>
      <c r="H42" s="2" t="s">
        <v>41</v>
      </c>
      <c r="I42" s="2" t="s">
        <v>185</v>
      </c>
      <c r="J42" s="2" t="s">
        <v>186</v>
      </c>
      <c r="K42" s="2" t="s">
        <v>63</v>
      </c>
      <c r="L42" s="2" t="s">
        <v>54</v>
      </c>
      <c r="M42" s="2">
        <v>46567</v>
      </c>
      <c r="N42" s="2" t="s">
        <v>64</v>
      </c>
      <c r="O42" s="2">
        <v>2825</v>
      </c>
      <c r="P42" s="2" t="s">
        <v>32</v>
      </c>
      <c r="Q42" s="2">
        <v>15</v>
      </c>
      <c r="R42" s="48">
        <v>3</v>
      </c>
      <c r="S42" s="2" t="s">
        <v>46</v>
      </c>
      <c r="T42" s="2" t="s">
        <v>96</v>
      </c>
      <c r="U42" s="2" t="s">
        <v>57</v>
      </c>
    </row>
    <row r="43" spans="1:21">
      <c r="A43" s="2">
        <v>4522</v>
      </c>
      <c r="B43" s="2" t="s">
        <v>187</v>
      </c>
      <c r="C43" s="2" t="s">
        <v>22</v>
      </c>
      <c r="D43" s="2">
        <v>36</v>
      </c>
      <c r="E43" s="2" t="s">
        <v>59</v>
      </c>
      <c r="F43" s="2" t="s">
        <v>24</v>
      </c>
      <c r="G43" s="2" t="s">
        <v>121</v>
      </c>
      <c r="H43" s="2" t="s">
        <v>26</v>
      </c>
      <c r="I43" s="2" t="s">
        <v>188</v>
      </c>
      <c r="J43" s="2" t="s">
        <v>189</v>
      </c>
      <c r="K43" s="2" t="s">
        <v>63</v>
      </c>
      <c r="L43" s="2" t="s">
        <v>44</v>
      </c>
      <c r="M43" s="2">
        <v>39795</v>
      </c>
      <c r="N43" s="2" t="s">
        <v>64</v>
      </c>
      <c r="O43" s="2">
        <v>1670</v>
      </c>
      <c r="P43" s="2" t="s">
        <v>46</v>
      </c>
      <c r="Q43" s="2">
        <v>0</v>
      </c>
      <c r="R43" s="48">
        <v>2</v>
      </c>
      <c r="S43" s="2" t="s">
        <v>47</v>
      </c>
      <c r="T43" s="2" t="s">
        <v>75</v>
      </c>
      <c r="U43" s="2" t="s">
        <v>46</v>
      </c>
    </row>
    <row r="44" spans="1:21">
      <c r="A44" s="2">
        <v>3078</v>
      </c>
      <c r="B44" s="2" t="s">
        <v>190</v>
      </c>
      <c r="C44" s="2" t="s">
        <v>22</v>
      </c>
      <c r="D44" s="2">
        <v>21</v>
      </c>
      <c r="E44" s="2" t="s">
        <v>23</v>
      </c>
      <c r="F44" s="2" t="s">
        <v>24</v>
      </c>
      <c r="G44" s="2" t="s">
        <v>25</v>
      </c>
      <c r="H44" s="2" t="s">
        <v>81</v>
      </c>
      <c r="I44" s="2" t="s">
        <v>191</v>
      </c>
      <c r="J44" s="2" t="s">
        <v>192</v>
      </c>
      <c r="K44" s="2" t="s">
        <v>63</v>
      </c>
      <c r="L44" s="2" t="s">
        <v>54</v>
      </c>
      <c r="M44" s="2">
        <v>59506</v>
      </c>
      <c r="N44" s="2" t="s">
        <v>64</v>
      </c>
      <c r="O44" s="2">
        <v>4428</v>
      </c>
      <c r="P44" s="2" t="s">
        <v>65</v>
      </c>
      <c r="Q44" s="2">
        <v>0</v>
      </c>
      <c r="R44" s="48">
        <v>1</v>
      </c>
      <c r="S44" s="2" t="s">
        <v>46</v>
      </c>
      <c r="T44" s="2" t="s">
        <v>75</v>
      </c>
      <c r="U44" s="2" t="s">
        <v>35</v>
      </c>
    </row>
    <row r="45" spans="1:21">
      <c r="A45" s="2">
        <v>6357</v>
      </c>
      <c r="B45" s="2" t="s">
        <v>193</v>
      </c>
      <c r="C45" s="2" t="s">
        <v>22</v>
      </c>
      <c r="D45" s="2">
        <v>46</v>
      </c>
      <c r="E45" s="2" t="s">
        <v>98</v>
      </c>
      <c r="F45" s="2" t="s">
        <v>49</v>
      </c>
      <c r="G45" s="2" t="s">
        <v>40</v>
      </c>
      <c r="H45" s="2" t="s">
        <v>81</v>
      </c>
      <c r="I45" s="2" t="s">
        <v>194</v>
      </c>
      <c r="J45" s="2" t="s">
        <v>195</v>
      </c>
      <c r="K45" s="2" t="s">
        <v>63</v>
      </c>
      <c r="L45" s="2" t="s">
        <v>54</v>
      </c>
      <c r="M45" s="2">
        <v>49058</v>
      </c>
      <c r="N45" s="2" t="s">
        <v>45</v>
      </c>
      <c r="O45" s="2">
        <v>4396</v>
      </c>
      <c r="P45" s="2" t="s">
        <v>46</v>
      </c>
      <c r="Q45" s="2">
        <v>5</v>
      </c>
      <c r="R45" s="48">
        <v>1</v>
      </c>
      <c r="S45" s="2" t="s">
        <v>46</v>
      </c>
      <c r="T45" s="2" t="s">
        <v>75</v>
      </c>
      <c r="U45" s="2" t="s">
        <v>46</v>
      </c>
    </row>
    <row r="46" spans="1:21">
      <c r="A46" s="2">
        <v>7951</v>
      </c>
      <c r="B46" s="2" t="s">
        <v>196</v>
      </c>
      <c r="C46" s="2" t="s">
        <v>22</v>
      </c>
      <c r="D46" s="2">
        <v>36</v>
      </c>
      <c r="E46" s="2" t="s">
        <v>59</v>
      </c>
      <c r="F46" s="2" t="s">
        <v>80</v>
      </c>
      <c r="G46" s="2" t="s">
        <v>50</v>
      </c>
      <c r="H46" s="2" t="s">
        <v>81</v>
      </c>
      <c r="I46" s="2" t="s">
        <v>197</v>
      </c>
      <c r="J46" s="2" t="s">
        <v>198</v>
      </c>
      <c r="K46" s="2" t="s">
        <v>63</v>
      </c>
      <c r="L46" s="2" t="s">
        <v>30</v>
      </c>
      <c r="M46" s="2">
        <v>98612</v>
      </c>
      <c r="N46" s="2" t="s">
        <v>64</v>
      </c>
      <c r="O46" s="2">
        <v>1168</v>
      </c>
      <c r="P46" s="2" t="s">
        <v>46</v>
      </c>
      <c r="Q46" s="2">
        <v>9</v>
      </c>
      <c r="R46" s="48">
        <v>2</v>
      </c>
      <c r="S46" s="2" t="s">
        <v>47</v>
      </c>
      <c r="T46" s="2" t="s">
        <v>34</v>
      </c>
      <c r="U46" s="2" t="s">
        <v>35</v>
      </c>
    </row>
    <row r="47" spans="1:21">
      <c r="A47" s="2">
        <v>9228</v>
      </c>
      <c r="B47" s="2" t="s">
        <v>199</v>
      </c>
      <c r="C47" s="2" t="s">
        <v>37</v>
      </c>
      <c r="D47" s="2">
        <v>41</v>
      </c>
      <c r="E47" s="2" t="s">
        <v>59</v>
      </c>
      <c r="F47" s="2" t="s">
        <v>102</v>
      </c>
      <c r="G47" s="2" t="s">
        <v>72</v>
      </c>
      <c r="H47" s="2" t="s">
        <v>41</v>
      </c>
      <c r="I47" s="2" t="s">
        <v>200</v>
      </c>
      <c r="J47" s="2" t="s">
        <v>201</v>
      </c>
      <c r="K47" s="2" t="s">
        <v>111</v>
      </c>
      <c r="L47" s="2" t="s">
        <v>44</v>
      </c>
      <c r="M47" s="2">
        <v>38201</v>
      </c>
      <c r="N47" s="2" t="s">
        <v>64</v>
      </c>
      <c r="O47" s="2">
        <v>7111</v>
      </c>
      <c r="P47" s="2" t="s">
        <v>32</v>
      </c>
      <c r="Q47" s="2">
        <v>8</v>
      </c>
      <c r="R47" s="48">
        <v>4</v>
      </c>
      <c r="S47" s="2" t="s">
        <v>33</v>
      </c>
      <c r="T47" s="2" t="s">
        <v>75</v>
      </c>
      <c r="U47" s="2" t="s">
        <v>46</v>
      </c>
    </row>
    <row r="48" spans="1:21">
      <c r="A48" s="2">
        <v>8988</v>
      </c>
      <c r="B48" s="2" t="s">
        <v>202</v>
      </c>
      <c r="C48" s="2" t="s">
        <v>37</v>
      </c>
      <c r="D48" s="2">
        <v>25</v>
      </c>
      <c r="E48" s="2" t="s">
        <v>23</v>
      </c>
      <c r="F48" s="2" t="s">
        <v>24</v>
      </c>
      <c r="G48" s="2" t="s">
        <v>50</v>
      </c>
      <c r="H48" s="2" t="s">
        <v>51</v>
      </c>
      <c r="I48" s="2" t="s">
        <v>203</v>
      </c>
      <c r="J48" s="2" t="s">
        <v>204</v>
      </c>
      <c r="K48" s="2" t="s">
        <v>111</v>
      </c>
      <c r="L48" s="2" t="s">
        <v>44</v>
      </c>
      <c r="M48" s="2">
        <v>92919</v>
      </c>
      <c r="N48" s="2" t="s">
        <v>55</v>
      </c>
      <c r="O48" s="2">
        <v>9497</v>
      </c>
      <c r="P48" s="2" t="s">
        <v>32</v>
      </c>
      <c r="Q48" s="2">
        <v>7</v>
      </c>
      <c r="R48" s="48">
        <v>2</v>
      </c>
      <c r="S48" s="2" t="s">
        <v>46</v>
      </c>
      <c r="T48" s="2" t="s">
        <v>75</v>
      </c>
      <c r="U48" s="2" t="s">
        <v>57</v>
      </c>
    </row>
    <row r="49" spans="1:21">
      <c r="A49" s="2">
        <v>1952</v>
      </c>
      <c r="B49" s="2" t="s">
        <v>205</v>
      </c>
      <c r="C49" s="2" t="s">
        <v>22</v>
      </c>
      <c r="D49" s="2">
        <v>29</v>
      </c>
      <c r="E49" s="2" t="s">
        <v>38</v>
      </c>
      <c r="F49" s="2" t="s">
        <v>102</v>
      </c>
      <c r="G49" s="2" t="s">
        <v>25</v>
      </c>
      <c r="H49" s="2" t="s">
        <v>41</v>
      </c>
      <c r="I49" s="2" t="s">
        <v>206</v>
      </c>
      <c r="J49" s="2" t="s">
        <v>207</v>
      </c>
      <c r="K49" s="2" t="s">
        <v>29</v>
      </c>
      <c r="L49" s="2" t="s">
        <v>54</v>
      </c>
      <c r="M49" s="2">
        <v>45188</v>
      </c>
      <c r="N49" s="2" t="s">
        <v>64</v>
      </c>
      <c r="O49" s="2">
        <v>9591</v>
      </c>
      <c r="P49" s="2" t="s">
        <v>65</v>
      </c>
      <c r="Q49" s="2">
        <v>18</v>
      </c>
      <c r="R49" s="48">
        <v>3</v>
      </c>
      <c r="S49" s="2" t="s">
        <v>33</v>
      </c>
      <c r="T49" s="2" t="s">
        <v>75</v>
      </c>
      <c r="U49" s="2" t="s">
        <v>46</v>
      </c>
    </row>
    <row r="50" spans="1:21">
      <c r="A50" s="2">
        <v>5760</v>
      </c>
      <c r="B50" s="2" t="s">
        <v>208</v>
      </c>
      <c r="C50" s="2" t="s">
        <v>22</v>
      </c>
      <c r="D50" s="2">
        <v>59</v>
      </c>
      <c r="E50" s="2" t="s">
        <v>68</v>
      </c>
      <c r="F50" s="2" t="s">
        <v>49</v>
      </c>
      <c r="G50" s="2" t="s">
        <v>40</v>
      </c>
      <c r="H50" s="2" t="s">
        <v>26</v>
      </c>
      <c r="I50" s="2" t="s">
        <v>209</v>
      </c>
      <c r="J50" s="2" t="s">
        <v>210</v>
      </c>
      <c r="K50" s="2" t="s">
        <v>29</v>
      </c>
      <c r="L50" s="2" t="s">
        <v>44</v>
      </c>
      <c r="M50" s="2">
        <v>34927</v>
      </c>
      <c r="N50" s="2" t="s">
        <v>55</v>
      </c>
      <c r="O50" s="2">
        <v>6996</v>
      </c>
      <c r="P50" s="2" t="s">
        <v>65</v>
      </c>
      <c r="Q50" s="2">
        <v>16</v>
      </c>
      <c r="R50" s="48">
        <v>1</v>
      </c>
      <c r="S50" s="2" t="s">
        <v>47</v>
      </c>
      <c r="T50" s="2" t="s">
        <v>34</v>
      </c>
      <c r="U50" s="2" t="s">
        <v>35</v>
      </c>
    </row>
    <row r="51" spans="1:21">
      <c r="A51" s="51">
        <v>5742</v>
      </c>
      <c r="B51" s="51" t="s">
        <v>211</v>
      </c>
      <c r="C51" s="51" t="s">
        <v>22</v>
      </c>
      <c r="D51" s="51">
        <v>27</v>
      </c>
      <c r="E51" s="51" t="s">
        <v>38</v>
      </c>
      <c r="F51" s="51" t="s">
        <v>24</v>
      </c>
      <c r="G51" s="51" t="s">
        <v>50</v>
      </c>
      <c r="H51" s="51" t="s">
        <v>60</v>
      </c>
      <c r="I51" s="51" t="s">
        <v>212</v>
      </c>
      <c r="J51" s="51" t="s">
        <v>213</v>
      </c>
      <c r="K51" s="51" t="s">
        <v>29</v>
      </c>
      <c r="L51" s="51" t="s">
        <v>44</v>
      </c>
      <c r="M51" s="51">
        <v>33183</v>
      </c>
      <c r="N51" s="51" t="s">
        <v>64</v>
      </c>
      <c r="O51" s="51">
        <v>1659</v>
      </c>
      <c r="P51" s="51" t="s">
        <v>46</v>
      </c>
      <c r="Q51" s="51">
        <v>11</v>
      </c>
      <c r="R51" s="52">
        <v>1</v>
      </c>
      <c r="S51" s="51" t="s">
        <v>33</v>
      </c>
      <c r="T51" s="51" t="s">
        <v>66</v>
      </c>
      <c r="U51" s="51" t="s">
        <v>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13FAC-9E0C-463C-84F9-955B25EC1AE0}">
  <dimension ref="A1"/>
  <sheetViews>
    <sheetView showGridLines="0" showRowColHeaders="0" tabSelected="1" workbookViewId="0">
      <selection activeCell="X7" sqref="X7"/>
    </sheetView>
  </sheetViews>
  <sheetFormatPr defaultRowHeight="14.25"/>
  <cols>
    <col min="1" max="16384" width="9.140625" style="3"/>
  </cols>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FC83D0-EFAA-478E-B917-476E04FD5B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PivoteTable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Singh</dc:creator>
  <cp:lastModifiedBy>Himanshu Singh</cp:lastModifiedBy>
  <dcterms:created xsi:type="dcterms:W3CDTF">2026-02-05T19:16:50Z</dcterms:created>
  <dcterms:modified xsi:type="dcterms:W3CDTF">2026-02-08T07:30:18Z</dcterms:modified>
</cp:coreProperties>
</file>